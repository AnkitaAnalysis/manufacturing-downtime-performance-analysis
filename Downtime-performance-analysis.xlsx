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7c2baadcee0bc10/Desktop/GitHub-Operations Files/"/>
    </mc:Choice>
  </mc:AlternateContent>
  <xr:revisionPtr revIDLastSave="4245" documentId="8_{CCCCCAAF-DFEF-470B-8D9E-C236C44810BF}" xr6:coauthVersionLast="47" xr6:coauthVersionMax="47" xr10:uidLastSave="{47D2106D-B80D-4CE6-976E-B29CB7387909}"/>
  <bookViews>
    <workbookView xWindow="-108" yWindow="-108" windowWidth="23256" windowHeight="13176" firstSheet="1" activeTab="4" xr2:uid="{0E93235B-02F8-4930-9A86-3AD53383E29B}"/>
  </bookViews>
  <sheets>
    <sheet name="Manufacturing Downtime Dataset" sheetId="1" r:id="rId1"/>
    <sheet name="Formatted Dataset" sheetId="2" r:id="rId2"/>
    <sheet name="Visual Plan" sheetId="4" r:id="rId3"/>
    <sheet name="Pivots &amp; Analysis" sheetId="3" r:id="rId4"/>
    <sheet name="Visualisation  &amp; Storytelling" sheetId="5" r:id="rId5"/>
  </sheets>
  <definedNames>
    <definedName name="NativeTimeline_DowntimeStart">#N/A</definedName>
    <definedName name="Slicer_Shift">#N/A</definedName>
    <definedName name="Slicer_Team">#N/A</definedName>
  </definedNames>
  <calcPr calcId="191028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3" l="1"/>
  <c r="H5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2" i="3"/>
  <c r="C62" i="3"/>
  <c r="B62" i="3"/>
  <c r="A62" i="3"/>
  <c r="C57" i="3" l="1"/>
  <c r="T2" i="3"/>
  <c r="S2" i="3"/>
  <c r="T51" i="3"/>
  <c r="S51" i="3"/>
  <c r="V51" i="3" s="1"/>
  <c r="T50" i="3"/>
  <c r="S50" i="3"/>
  <c r="V50" i="3" s="1"/>
  <c r="T49" i="3"/>
  <c r="S49" i="3"/>
  <c r="V49" i="3" s="1"/>
  <c r="T48" i="3"/>
  <c r="S48" i="3"/>
  <c r="V48" i="3" s="1"/>
  <c r="T47" i="3"/>
  <c r="S47" i="3"/>
  <c r="T46" i="3"/>
  <c r="S46" i="3"/>
  <c r="T45" i="3"/>
  <c r="S45" i="3"/>
  <c r="V45" i="3" s="1"/>
  <c r="T44" i="3"/>
  <c r="S44" i="3"/>
  <c r="V44" i="3" s="1"/>
  <c r="T43" i="3"/>
  <c r="S43" i="3"/>
  <c r="V43" i="3" s="1"/>
  <c r="T42" i="3"/>
  <c r="S42" i="3"/>
  <c r="V42" i="3" s="1"/>
  <c r="T41" i="3"/>
  <c r="S41" i="3"/>
  <c r="T40" i="3"/>
  <c r="S40" i="3"/>
  <c r="T39" i="3"/>
  <c r="S39" i="3"/>
  <c r="V39" i="3" s="1"/>
  <c r="T38" i="3"/>
  <c r="S38" i="3"/>
  <c r="V38" i="3" s="1"/>
  <c r="T37" i="3"/>
  <c r="S37" i="3"/>
  <c r="V37" i="3" s="1"/>
  <c r="T36" i="3"/>
  <c r="S36" i="3"/>
  <c r="V36" i="3" s="1"/>
  <c r="T35" i="3"/>
  <c r="S35" i="3"/>
  <c r="T34" i="3"/>
  <c r="S34" i="3"/>
  <c r="T33" i="3"/>
  <c r="S33" i="3"/>
  <c r="V33" i="3" s="1"/>
  <c r="T32" i="3"/>
  <c r="S32" i="3"/>
  <c r="V32" i="3" s="1"/>
  <c r="T31" i="3"/>
  <c r="S31" i="3"/>
  <c r="V31" i="3" s="1"/>
  <c r="T30" i="3"/>
  <c r="S30" i="3"/>
  <c r="V30" i="3" s="1"/>
  <c r="T29" i="3"/>
  <c r="S29" i="3"/>
  <c r="T28" i="3"/>
  <c r="S28" i="3"/>
  <c r="T27" i="3"/>
  <c r="S27" i="3"/>
  <c r="V27" i="3" s="1"/>
  <c r="T26" i="3"/>
  <c r="S26" i="3"/>
  <c r="V26" i="3" s="1"/>
  <c r="T25" i="3"/>
  <c r="S25" i="3"/>
  <c r="V25" i="3" s="1"/>
  <c r="T24" i="3"/>
  <c r="S24" i="3"/>
  <c r="V24" i="3" s="1"/>
  <c r="T23" i="3"/>
  <c r="S23" i="3"/>
  <c r="T22" i="3"/>
  <c r="S22" i="3"/>
  <c r="T21" i="3"/>
  <c r="S21" i="3"/>
  <c r="V21" i="3" s="1"/>
  <c r="T20" i="3"/>
  <c r="S20" i="3"/>
  <c r="V20" i="3" s="1"/>
  <c r="T19" i="3"/>
  <c r="S19" i="3"/>
  <c r="V19" i="3" s="1"/>
  <c r="T18" i="3"/>
  <c r="S18" i="3"/>
  <c r="V18" i="3" s="1"/>
  <c r="T17" i="3"/>
  <c r="S17" i="3"/>
  <c r="T16" i="3"/>
  <c r="S16" i="3"/>
  <c r="T15" i="3"/>
  <c r="S15" i="3"/>
  <c r="V15" i="3" s="1"/>
  <c r="T14" i="3"/>
  <c r="S14" i="3"/>
  <c r="V14" i="3" s="1"/>
  <c r="T13" i="3"/>
  <c r="S13" i="3"/>
  <c r="V13" i="3" s="1"/>
  <c r="T12" i="3"/>
  <c r="S12" i="3"/>
  <c r="V12" i="3" s="1"/>
  <c r="T11" i="3"/>
  <c r="S11" i="3"/>
  <c r="T10" i="3"/>
  <c r="S10" i="3"/>
  <c r="T9" i="3"/>
  <c r="S9" i="3"/>
  <c r="V9" i="3" s="1"/>
  <c r="T8" i="3"/>
  <c r="S8" i="3"/>
  <c r="V8" i="3" s="1"/>
  <c r="T7" i="3"/>
  <c r="S7" i="3"/>
  <c r="V7" i="3" s="1"/>
  <c r="T6" i="3"/>
  <c r="S6" i="3"/>
  <c r="V6" i="3" s="1"/>
  <c r="T5" i="3"/>
  <c r="S5" i="3"/>
  <c r="T4" i="3"/>
  <c r="S4" i="3"/>
  <c r="T3" i="3"/>
  <c r="S3" i="3"/>
  <c r="V3" i="3" s="1"/>
  <c r="V4" i="3" l="1"/>
  <c r="V10" i="3"/>
  <c r="V16" i="3"/>
  <c r="V22" i="3"/>
  <c r="V28" i="3"/>
  <c r="V34" i="3"/>
  <c r="V40" i="3"/>
  <c r="V46" i="3"/>
  <c r="V2" i="3"/>
  <c r="V5" i="3"/>
  <c r="V11" i="3"/>
  <c r="V17" i="3"/>
  <c r="V23" i="3"/>
  <c r="V29" i="3"/>
  <c r="V35" i="3"/>
  <c r="V41" i="3"/>
  <c r="V47" i="3"/>
</calcChain>
</file>

<file path=xl/sharedStrings.xml><?xml version="1.0" encoding="utf-8"?>
<sst xmlns="http://schemas.openxmlformats.org/spreadsheetml/2006/main" count="1208" uniqueCount="216">
  <si>
    <t>MachineID</t>
  </si>
  <si>
    <t>MachineAgeHours</t>
  </si>
  <si>
    <t>Shift</t>
  </si>
  <si>
    <t>Team</t>
  </si>
  <si>
    <t>DowntimeReason</t>
  </si>
  <si>
    <t>DowntimeStart</t>
  </si>
  <si>
    <t>DowntimeEnd</t>
  </si>
  <si>
    <t>DowntimeDurationHrs</t>
  </si>
  <si>
    <t>IncidentID</t>
  </si>
  <si>
    <t>BatchID</t>
  </si>
  <si>
    <t>PlannedProdTimeHrs</t>
  </si>
  <si>
    <t>ActualProdTimeHrs</t>
  </si>
  <si>
    <t>UnitsPlanned</t>
  </si>
  <si>
    <t>UnitsProduced</t>
  </si>
  <si>
    <t>HourlyOperatingCost</t>
  </si>
  <si>
    <t>BudgetedDowntimeCost</t>
  </si>
  <si>
    <t>ActualDowntimeCost</t>
  </si>
  <si>
    <t>M1</t>
  </si>
  <si>
    <t>Shift1</t>
  </si>
  <si>
    <t>TeamA</t>
  </si>
  <si>
    <t>Maintenance</t>
  </si>
  <si>
    <t>INC001</t>
  </si>
  <si>
    <t>B001</t>
  </si>
  <si>
    <t>M2</t>
  </si>
  <si>
    <t>Shift2</t>
  </si>
  <si>
    <t>TeamB</t>
  </si>
  <si>
    <t>Operator Error</t>
  </si>
  <si>
    <t>INC002</t>
  </si>
  <si>
    <t>B002</t>
  </si>
  <si>
    <t>M3</t>
  </si>
  <si>
    <t>Shift3</t>
  </si>
  <si>
    <t>TeamC</t>
  </si>
  <si>
    <t>Supply Shortage</t>
  </si>
  <si>
    <t>INC003</t>
  </si>
  <si>
    <t>B003</t>
  </si>
  <si>
    <t>M4</t>
  </si>
  <si>
    <t>Machine Failure</t>
  </si>
  <si>
    <t>INC004</t>
  </si>
  <si>
    <t>B004</t>
  </si>
  <si>
    <t>M5</t>
  </si>
  <si>
    <t>INC005</t>
  </si>
  <si>
    <t>B005</t>
  </si>
  <si>
    <t>M6</t>
  </si>
  <si>
    <t>INC006</t>
  </si>
  <si>
    <t>B006</t>
  </si>
  <si>
    <t>M7</t>
  </si>
  <si>
    <t>INC007</t>
  </si>
  <si>
    <t>B007</t>
  </si>
  <si>
    <t>M8</t>
  </si>
  <si>
    <t>INC008</t>
  </si>
  <si>
    <t>B008</t>
  </si>
  <si>
    <t>M9</t>
  </si>
  <si>
    <t>INC009</t>
  </si>
  <si>
    <t>B009</t>
  </si>
  <si>
    <t>M10</t>
  </si>
  <si>
    <t>INC010</t>
  </si>
  <si>
    <t>B010</t>
  </si>
  <si>
    <t>M11</t>
  </si>
  <si>
    <t>INC011</t>
  </si>
  <si>
    <t>B011</t>
  </si>
  <si>
    <t>M12</t>
  </si>
  <si>
    <t>INC012</t>
  </si>
  <si>
    <t>B012</t>
  </si>
  <si>
    <t>M13</t>
  </si>
  <si>
    <t>INC013</t>
  </si>
  <si>
    <t>B013</t>
  </si>
  <si>
    <t>M14</t>
  </si>
  <si>
    <t>INC014</t>
  </si>
  <si>
    <t>B014</t>
  </si>
  <si>
    <t>M15</t>
  </si>
  <si>
    <t>INC015</t>
  </si>
  <si>
    <t>B015</t>
  </si>
  <si>
    <t>…</t>
  </si>
  <si>
    <t>M16</t>
  </si>
  <si>
    <t>INC016</t>
  </si>
  <si>
    <t>B016</t>
  </si>
  <si>
    <t>M17</t>
  </si>
  <si>
    <t>INC017</t>
  </si>
  <si>
    <t>B017</t>
  </si>
  <si>
    <t>M18</t>
  </si>
  <si>
    <t>INC018</t>
  </si>
  <si>
    <t>B018</t>
  </si>
  <si>
    <t>M19</t>
  </si>
  <si>
    <t>INC019</t>
  </si>
  <si>
    <t>B019</t>
  </si>
  <si>
    <t>M20</t>
  </si>
  <si>
    <t>INC020</t>
  </si>
  <si>
    <t>B020</t>
  </si>
  <si>
    <t>M21</t>
  </si>
  <si>
    <t>INC021</t>
  </si>
  <si>
    <t>B021</t>
  </si>
  <si>
    <t>M22</t>
  </si>
  <si>
    <t>INC022</t>
  </si>
  <si>
    <t>B022</t>
  </si>
  <si>
    <t>M23</t>
  </si>
  <si>
    <t>INC023</t>
  </si>
  <si>
    <t>B023</t>
  </si>
  <si>
    <t>M24</t>
  </si>
  <si>
    <t>INC024</t>
  </si>
  <si>
    <t>B024</t>
  </si>
  <si>
    <t>M25</t>
  </si>
  <si>
    <t>INC025</t>
  </si>
  <si>
    <t>B025</t>
  </si>
  <si>
    <t>M26</t>
  </si>
  <si>
    <t>INC026</t>
  </si>
  <si>
    <t>B026</t>
  </si>
  <si>
    <t>M27</t>
  </si>
  <si>
    <t>INC027</t>
  </si>
  <si>
    <t>B027</t>
  </si>
  <si>
    <t>M28</t>
  </si>
  <si>
    <t>INC028</t>
  </si>
  <si>
    <t>B028</t>
  </si>
  <si>
    <t>M29</t>
  </si>
  <si>
    <t>INC029</t>
  </si>
  <si>
    <t>B029</t>
  </si>
  <si>
    <t>M30</t>
  </si>
  <si>
    <t>INC030</t>
  </si>
  <si>
    <t>B030</t>
  </si>
  <si>
    <t>M31</t>
  </si>
  <si>
    <t>INC031</t>
  </si>
  <si>
    <t>B031</t>
  </si>
  <si>
    <t>M32</t>
  </si>
  <si>
    <t>INC032</t>
  </si>
  <si>
    <t>B032</t>
  </si>
  <si>
    <t>M33</t>
  </si>
  <si>
    <t>INC033</t>
  </si>
  <si>
    <t>B033</t>
  </si>
  <si>
    <t>M34</t>
  </si>
  <si>
    <t>INC034</t>
  </si>
  <si>
    <t>B034</t>
  </si>
  <si>
    <t>M35</t>
  </si>
  <si>
    <t>INC035</t>
  </si>
  <si>
    <t>B035</t>
  </si>
  <si>
    <t>M36</t>
  </si>
  <si>
    <t>INC036</t>
  </si>
  <si>
    <t>B036</t>
  </si>
  <si>
    <t>M37</t>
  </si>
  <si>
    <t>INC037</t>
  </si>
  <si>
    <t>B037</t>
  </si>
  <si>
    <t>M38</t>
  </si>
  <si>
    <t>INC038</t>
  </si>
  <si>
    <t>B038</t>
  </si>
  <si>
    <t>M39</t>
  </si>
  <si>
    <t>INC039</t>
  </si>
  <si>
    <t>B039</t>
  </si>
  <si>
    <t>M40</t>
  </si>
  <si>
    <t>2026-05-20 15</t>
  </si>
  <si>
    <t>INC040</t>
  </si>
  <si>
    <t>B040</t>
  </si>
  <si>
    <t>M41</t>
  </si>
  <si>
    <t>INC041</t>
  </si>
  <si>
    <t>B041</t>
  </si>
  <si>
    <t>M42</t>
  </si>
  <si>
    <t>INC042</t>
  </si>
  <si>
    <t>B042</t>
  </si>
  <si>
    <t>M43</t>
  </si>
  <si>
    <t>INC043</t>
  </si>
  <si>
    <t>B043</t>
  </si>
  <si>
    <t>M44</t>
  </si>
  <si>
    <t>INC044</t>
  </si>
  <si>
    <t>B044</t>
  </si>
  <si>
    <t>M45</t>
  </si>
  <si>
    <t>INC045</t>
  </si>
  <si>
    <t>B045</t>
  </si>
  <si>
    <t>M46</t>
  </si>
  <si>
    <t>INC046</t>
  </si>
  <si>
    <t>B046</t>
  </si>
  <si>
    <t>M47</t>
  </si>
  <si>
    <t>INC047</t>
  </si>
  <si>
    <t>B047</t>
  </si>
  <si>
    <t>M48</t>
  </si>
  <si>
    <t>INC048</t>
  </si>
  <si>
    <t>B048</t>
  </si>
  <si>
    <t>M49</t>
  </si>
  <si>
    <t>INC049</t>
  </si>
  <si>
    <t>B049</t>
  </si>
  <si>
    <t>M50</t>
  </si>
  <si>
    <t>INC050</t>
  </si>
  <si>
    <t>B050</t>
  </si>
  <si>
    <t>Dashboard Visualization Plan</t>
  </si>
  <si>
    <r>
      <t>Overall Equipment Effectiveness (OEE by Machine Age/Runtime)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Scatter plot / Bar chart</t>
    </r>
  </si>
  <si>
    <r>
      <t>Total Downtime Hours by Machines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Bar chart</t>
    </r>
  </si>
  <si>
    <r>
      <t>Total Downtime Hours by Shift/Team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Stacked bar chart</t>
    </r>
  </si>
  <si>
    <r>
      <t>Total Downtime Hours by Reason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Pareto chart (bar + line)</t>
    </r>
  </si>
  <si>
    <r>
      <t>Downtime Rate %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KPI card</t>
    </r>
  </si>
  <si>
    <r>
      <t>No. of Downtime Incidents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KPI card</t>
    </r>
  </si>
  <si>
    <r>
      <t>Weekly/Monthly Production Time Lost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Line chart (trend over time)</t>
    </r>
  </si>
  <si>
    <r>
      <t>Lost Units due to Downtime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KPI card</t>
    </r>
  </si>
  <si>
    <r>
      <t>Total Hourly Cost of Downtime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KPI card</t>
    </r>
  </si>
  <si>
    <r>
      <rPr>
        <b/>
        <sz val="11"/>
        <color rgb="FF000000"/>
        <rFont val="Aptos Narrow"/>
        <family val="2"/>
        <scheme val="minor"/>
      </rPr>
      <t>Cost Variance (Actual vs Budgeted)</t>
    </r>
    <r>
      <rPr>
        <sz val="11"/>
        <color rgb="FF000000"/>
        <rFont val="Aptos Narrow"/>
        <family val="2"/>
        <scheme val="minor"/>
      </rPr>
      <t xml:space="preserve"> → </t>
    </r>
    <r>
      <rPr>
        <b/>
        <sz val="11"/>
        <color rgb="FF000000"/>
        <rFont val="Aptos Narrow"/>
        <family val="2"/>
        <scheme val="minor"/>
      </rPr>
      <t>Variance bar chart (actual vs budget)</t>
    </r>
  </si>
  <si>
    <r>
      <t>Production Output vs Planned Output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Gauge chart or bar chart (planned vs actual)</t>
    </r>
  </si>
  <si>
    <t>Run Time</t>
  </si>
  <si>
    <t>Availability</t>
  </si>
  <si>
    <t>Performance</t>
  </si>
  <si>
    <t>Quality</t>
  </si>
  <si>
    <t>OEE</t>
  </si>
  <si>
    <t>Lost Units</t>
  </si>
  <si>
    <t>Cost of Downtime</t>
  </si>
  <si>
    <t>Cost Variance</t>
  </si>
  <si>
    <t>Production Efficiency</t>
  </si>
  <si>
    <t>ProdTime Lost</t>
  </si>
  <si>
    <t>Downtime Rate %</t>
  </si>
  <si>
    <t>Assumed Ideal Cycle Time = 0.01 hr/unit</t>
  </si>
  <si>
    <t>Sum of DowntimeDurationHrs</t>
  </si>
  <si>
    <t>Sum of PlannedProdTimeHrs</t>
  </si>
  <si>
    <t>Average of Production Efficiency</t>
  </si>
  <si>
    <t>Sum of BudgetedDowntimeCost</t>
  </si>
  <si>
    <t>Sum of ActualDowntimeCost</t>
  </si>
  <si>
    <t>Sum of Cost Variance</t>
  </si>
  <si>
    <t>Sum of Cost of Downtime</t>
  </si>
  <si>
    <t>Count of IncidentID</t>
  </si>
  <si>
    <t>Sum of Lost Units</t>
  </si>
  <si>
    <t>Grand Total</t>
  </si>
  <si>
    <t>Average of OEE</t>
  </si>
  <si>
    <t>Sum of UnitsPlanned</t>
  </si>
  <si>
    <t>Sum of UnitsProduced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</si>
</sst>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/>
    <xf numFmtId="9" fontId="0" fillId="0" borderId="0" xfId="42" applyFont="1"/>
    <xf numFmtId="9" fontId="0" fillId="0" borderId="0" xfId="0" applyNumberFormat="1"/>
    <xf numFmtId="0" fontId="0" fillId="0" borderId="0" xfId="0" pivotButton="1"/>
    <xf numFmtId="0" fontId="18" fillId="0" borderId="0" xfId="0" applyFont="1" applyAlignment="1">
      <alignment horizontal="center" vertical="center"/>
    </xf>
    <xf numFmtId="0" fontId="21" fillId="0" borderId="0" xfId="0" applyFont="1"/>
    <xf numFmtId="0" fontId="16" fillId="0" borderId="0" xfId="0" applyFont="1"/>
    <xf numFmtId="0" fontId="22" fillId="0" borderId="0" xfId="0" applyFont="1"/>
    <xf numFmtId="0" fontId="0" fillId="33" borderId="0" xfId="0" applyFill="1"/>
    <xf numFmtId="0" fontId="16" fillId="34" borderId="0" xfId="0" applyFont="1" applyFill="1"/>
    <xf numFmtId="22" fontId="0" fillId="0" borderId="0" xfId="0" applyNumberFormat="1"/>
    <xf numFmtId="164" fontId="0" fillId="0" borderId="0" xfId="0" applyNumberFormat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&amp; Analysis'!$C$73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&amp; Analysis'!$B$74:$B$84</c:f>
              <c:strCache>
                <c:ptCount val="10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15000</c:v>
                </c:pt>
              </c:strCache>
            </c:strRef>
          </c:cat>
          <c:val>
            <c:numRef>
              <c:f>'Pivots &amp; Analysis'!$C$74:$C$84</c:f>
              <c:numCache>
                <c:formatCode>0%</c:formatCode>
                <c:ptCount val="10"/>
                <c:pt idx="0">
                  <c:v>0.58076479076479082</c:v>
                </c:pt>
                <c:pt idx="1">
                  <c:v>0.6584404761904763</c:v>
                </c:pt>
                <c:pt idx="2">
                  <c:v>0.62847374847374848</c:v>
                </c:pt>
                <c:pt idx="3">
                  <c:v>0.63364772727272711</c:v>
                </c:pt>
                <c:pt idx="4">
                  <c:v>0.60881822344322356</c:v>
                </c:pt>
                <c:pt idx="5">
                  <c:v>0.66637435897435893</c:v>
                </c:pt>
                <c:pt idx="6">
                  <c:v>0.56643272283272295</c:v>
                </c:pt>
                <c:pt idx="7">
                  <c:v>0.6016841269841271</c:v>
                </c:pt>
                <c:pt idx="8">
                  <c:v>0.6150461538461538</c:v>
                </c:pt>
                <c:pt idx="9">
                  <c:v>0.5866476190476192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1-451E-B684-A79CC47D9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5950215"/>
        <c:axId val="1305952263"/>
      </c:barChart>
      <c:catAx>
        <c:axId val="1305950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52263"/>
        <c:crosses val="autoZero"/>
        <c:auto val="1"/>
        <c:lblAlgn val="ctr"/>
        <c:lblOffset val="100"/>
        <c:noMultiLvlLbl val="0"/>
      </c:catAx>
      <c:valAx>
        <c:axId val="130595226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5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'Pivots &amp; Analysis'!$F$69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&amp; Analysis'!$E$70:$E$73</c:f>
              <c:strCache>
                <c:ptCount val="3"/>
                <c:pt idx="0">
                  <c:v>TeamA</c:v>
                </c:pt>
                <c:pt idx="1">
                  <c:v>TeamB</c:v>
                </c:pt>
                <c:pt idx="2">
                  <c:v>TeamC</c:v>
                </c:pt>
              </c:strCache>
            </c:strRef>
          </c:cat>
          <c:val>
            <c:numRef>
              <c:f>'Pivots &amp; Analysis'!$F$70:$F$73</c:f>
              <c:numCache>
                <c:formatCode>General</c:formatCode>
                <c:ptCount val="3"/>
                <c:pt idx="0">
                  <c:v>27</c:v>
                </c:pt>
                <c:pt idx="1">
                  <c:v>28</c:v>
                </c:pt>
                <c:pt idx="2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7-4E60-AF4B-CE77A016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0095879"/>
        <c:axId val="1305975303"/>
      </c:barChart>
      <c:catAx>
        <c:axId val="1070095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75303"/>
        <c:crosses val="autoZero"/>
        <c:auto val="1"/>
        <c:lblAlgn val="ctr"/>
        <c:lblOffset val="100"/>
        <c:noMultiLvlLbl val="0"/>
      </c:catAx>
      <c:valAx>
        <c:axId val="1305975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95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'Pivots &amp; Analysis'!$C$87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'Pivots &amp; Analysis'!$B$88:$B$138</c:f>
              <c:strCache>
                <c:ptCount val="50"/>
                <c:pt idx="0">
                  <c:v>01-05-2026 08:00</c:v>
                </c:pt>
                <c:pt idx="1">
                  <c:v>01-05-2026 14:00</c:v>
                </c:pt>
                <c:pt idx="2">
                  <c:v>02-05-2026 09:00</c:v>
                </c:pt>
                <c:pt idx="3">
                  <c:v>02-05-2026 13:00</c:v>
                </c:pt>
                <c:pt idx="4">
                  <c:v>03-05-2026 08:30</c:v>
                </c:pt>
                <c:pt idx="5">
                  <c:v>03-05-2026 15:00</c:v>
                </c:pt>
                <c:pt idx="6">
                  <c:v>04-05-2026 09:00</c:v>
                </c:pt>
                <c:pt idx="7">
                  <c:v>04-05-2026 12:00</c:v>
                </c:pt>
                <c:pt idx="8">
                  <c:v>05-05-2026 08:00</c:v>
                </c:pt>
                <c:pt idx="9">
                  <c:v>05-05-2026 14:00</c:v>
                </c:pt>
                <c:pt idx="10">
                  <c:v>06-05-2026 09:00</c:v>
                </c:pt>
                <c:pt idx="11">
                  <c:v>06-05-2026 13:00</c:v>
                </c:pt>
                <c:pt idx="12">
                  <c:v>07-05-2026 08:00</c:v>
                </c:pt>
                <c:pt idx="13">
                  <c:v>07-05-2026 15:00</c:v>
                </c:pt>
                <c:pt idx="14">
                  <c:v>08-05-2026 09:00</c:v>
                </c:pt>
                <c:pt idx="15">
                  <c:v>08-05-2026 12:00</c:v>
                </c:pt>
                <c:pt idx="16">
                  <c:v>09-05-2026 08:30</c:v>
                </c:pt>
                <c:pt idx="17">
                  <c:v>09-05-2026 14:00</c:v>
                </c:pt>
                <c:pt idx="18">
                  <c:v>10-05-2026 09:00</c:v>
                </c:pt>
                <c:pt idx="19">
                  <c:v>10-05-2026 13:00</c:v>
                </c:pt>
                <c:pt idx="20">
                  <c:v>11-05-2026 08:00</c:v>
                </c:pt>
                <c:pt idx="21">
                  <c:v>11-05-2026 14:00</c:v>
                </c:pt>
                <c:pt idx="22">
                  <c:v>12-05-2026 09:00</c:v>
                </c:pt>
                <c:pt idx="23">
                  <c:v>12-05-2026 13:00</c:v>
                </c:pt>
                <c:pt idx="24">
                  <c:v>13-05-2026 08:00</c:v>
                </c:pt>
                <c:pt idx="25">
                  <c:v>13-05-2026 15:00</c:v>
                </c:pt>
                <c:pt idx="26">
                  <c:v>14-05-2026 09:00</c:v>
                </c:pt>
                <c:pt idx="27">
                  <c:v>14-05-2026 12:00</c:v>
                </c:pt>
                <c:pt idx="28">
                  <c:v>15-05-2026 08:30</c:v>
                </c:pt>
                <c:pt idx="29">
                  <c:v>15-05-2026 14:00</c:v>
                </c:pt>
                <c:pt idx="30">
                  <c:v>16-05-2026 09:00</c:v>
                </c:pt>
                <c:pt idx="31">
                  <c:v>16-05-2026 13:00</c:v>
                </c:pt>
                <c:pt idx="32">
                  <c:v>17-05-2026 08:00</c:v>
                </c:pt>
                <c:pt idx="33">
                  <c:v>17-05-2026 15:00</c:v>
                </c:pt>
                <c:pt idx="34">
                  <c:v>18-05-2026 09:00</c:v>
                </c:pt>
                <c:pt idx="35">
                  <c:v>18-05-2026 12:00</c:v>
                </c:pt>
                <c:pt idx="36">
                  <c:v>19-05-2026 08:30</c:v>
                </c:pt>
                <c:pt idx="37">
                  <c:v>19-05-2026 14:00</c:v>
                </c:pt>
                <c:pt idx="38">
                  <c:v>20-05-2026 09:00</c:v>
                </c:pt>
                <c:pt idx="39">
                  <c:v>20-05-2026 13:00</c:v>
                </c:pt>
                <c:pt idx="40">
                  <c:v>21-05-2026 08:00</c:v>
                </c:pt>
                <c:pt idx="41">
                  <c:v>21-05-2026 14:00</c:v>
                </c:pt>
                <c:pt idx="42">
                  <c:v>22-05-2026 09:00</c:v>
                </c:pt>
                <c:pt idx="43">
                  <c:v>22-05-2026 13:00</c:v>
                </c:pt>
                <c:pt idx="44">
                  <c:v>23-05-2026 08:00</c:v>
                </c:pt>
                <c:pt idx="45">
                  <c:v>23-05-2026 15:00</c:v>
                </c:pt>
                <c:pt idx="46">
                  <c:v>24-05-2026 09:00</c:v>
                </c:pt>
                <c:pt idx="47">
                  <c:v>24-05-2026 12:00</c:v>
                </c:pt>
                <c:pt idx="48">
                  <c:v>25-05-2026 08:30</c:v>
                </c:pt>
                <c:pt idx="49">
                  <c:v>25-05-2026 14:00</c:v>
                </c:pt>
              </c:strCache>
            </c:strRef>
          </c:cat>
          <c:val>
            <c:numRef>
              <c:f>'Pivots &amp; Analysis'!$C$88:$C$138</c:f>
              <c:numCache>
                <c:formatCode>General</c:formatCode>
                <c:ptCount val="50"/>
                <c:pt idx="0">
                  <c:v>2</c:v>
                </c:pt>
                <c:pt idx="1">
                  <c:v>1.5</c:v>
                </c:pt>
                <c:pt idx="2">
                  <c:v>2.5</c:v>
                </c:pt>
                <c:pt idx="3">
                  <c:v>1</c:v>
                </c:pt>
                <c:pt idx="4">
                  <c:v>1.5</c:v>
                </c:pt>
                <c:pt idx="5">
                  <c:v>1</c:v>
                </c:pt>
                <c:pt idx="6">
                  <c:v>2</c:v>
                </c:pt>
                <c:pt idx="7">
                  <c:v>2.5</c:v>
                </c:pt>
                <c:pt idx="8">
                  <c:v>1.5</c:v>
                </c:pt>
                <c:pt idx="9">
                  <c:v>1</c:v>
                </c:pt>
                <c:pt idx="10">
                  <c:v>2</c:v>
                </c:pt>
                <c:pt idx="11">
                  <c:v>1.5</c:v>
                </c:pt>
                <c:pt idx="12">
                  <c:v>2</c:v>
                </c:pt>
                <c:pt idx="13">
                  <c:v>1</c:v>
                </c:pt>
                <c:pt idx="14">
                  <c:v>2.5</c:v>
                </c:pt>
                <c:pt idx="15">
                  <c:v>1.5</c:v>
                </c:pt>
                <c:pt idx="16">
                  <c:v>1.5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1.5</c:v>
                </c:pt>
                <c:pt idx="21">
                  <c:v>1</c:v>
                </c:pt>
                <c:pt idx="22">
                  <c:v>2</c:v>
                </c:pt>
                <c:pt idx="23">
                  <c:v>1.5</c:v>
                </c:pt>
                <c:pt idx="24">
                  <c:v>2</c:v>
                </c:pt>
                <c:pt idx="25">
                  <c:v>1</c:v>
                </c:pt>
                <c:pt idx="26">
                  <c:v>2.5</c:v>
                </c:pt>
                <c:pt idx="27">
                  <c:v>1.5</c:v>
                </c:pt>
                <c:pt idx="28">
                  <c:v>1.5</c:v>
                </c:pt>
                <c:pt idx="29">
                  <c:v>1</c:v>
                </c:pt>
                <c:pt idx="30">
                  <c:v>2</c:v>
                </c:pt>
                <c:pt idx="31">
                  <c:v>1.5</c:v>
                </c:pt>
                <c:pt idx="32">
                  <c:v>2</c:v>
                </c:pt>
                <c:pt idx="33">
                  <c:v>1</c:v>
                </c:pt>
                <c:pt idx="34">
                  <c:v>2.5</c:v>
                </c:pt>
                <c:pt idx="35">
                  <c:v>1.5</c:v>
                </c:pt>
                <c:pt idx="36">
                  <c:v>1.5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1.5</c:v>
                </c:pt>
                <c:pt idx="41">
                  <c:v>1</c:v>
                </c:pt>
                <c:pt idx="42">
                  <c:v>2</c:v>
                </c:pt>
                <c:pt idx="43">
                  <c:v>1.5</c:v>
                </c:pt>
                <c:pt idx="44">
                  <c:v>2</c:v>
                </c:pt>
                <c:pt idx="45">
                  <c:v>1</c:v>
                </c:pt>
                <c:pt idx="46">
                  <c:v>2.5</c:v>
                </c:pt>
                <c:pt idx="47">
                  <c:v>1.5</c:v>
                </c:pt>
                <c:pt idx="48">
                  <c:v>1.5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2-4566-BAE7-4ED7FE2F1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555143"/>
        <c:axId val="1206557191"/>
      </c:lineChart>
      <c:catAx>
        <c:axId val="120655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57191"/>
        <c:crosses val="autoZero"/>
        <c:auto val="1"/>
        <c:lblAlgn val="ctr"/>
        <c:lblOffset val="100"/>
        <c:noMultiLvlLbl val="0"/>
      </c:catAx>
      <c:valAx>
        <c:axId val="1206557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5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'Pivots &amp; Analysis'!$F$77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&amp; Analysis'!$E$78:$E$81</c:f>
              <c:strCache>
                <c:ptCount val="3"/>
                <c:pt idx="0">
                  <c:v>Shift1</c:v>
                </c:pt>
                <c:pt idx="1">
                  <c:v>Shift2</c:v>
                </c:pt>
                <c:pt idx="2">
                  <c:v>Shift3</c:v>
                </c:pt>
              </c:strCache>
            </c:strRef>
          </c:cat>
          <c:val>
            <c:numRef>
              <c:f>'Pivots &amp; Analysis'!$F$78:$F$81</c:f>
              <c:numCache>
                <c:formatCode>General</c:formatCode>
                <c:ptCount val="3"/>
                <c:pt idx="0">
                  <c:v>27</c:v>
                </c:pt>
                <c:pt idx="1">
                  <c:v>28</c:v>
                </c:pt>
                <c:pt idx="2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0-4A0C-A019-BC91BD26F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5941511"/>
        <c:axId val="1025943559"/>
      </c:barChart>
      <c:catAx>
        <c:axId val="102594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43559"/>
        <c:crosses val="autoZero"/>
        <c:auto val="1"/>
        <c:lblAlgn val="ctr"/>
        <c:lblOffset val="100"/>
        <c:noMultiLvlLbl val="0"/>
      </c:catAx>
      <c:valAx>
        <c:axId val="1025943559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4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&amp; Analysis'!$N$58</c:f>
              <c:strCache>
                <c:ptCount val="1"/>
                <c:pt idx="0">
                  <c:v>Sum of BudgetedDowntimeCost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&amp; Analysis'!$M$59:$M$62</c:f>
              <c:strCache>
                <c:ptCount val="3"/>
                <c:pt idx="0">
                  <c:v>TeamA</c:v>
                </c:pt>
                <c:pt idx="1">
                  <c:v>TeamB</c:v>
                </c:pt>
                <c:pt idx="2">
                  <c:v>TeamC</c:v>
                </c:pt>
              </c:strCache>
            </c:strRef>
          </c:cat>
          <c:val>
            <c:numRef>
              <c:f>'Pivots &amp; Analysis'!$N$59:$N$62</c:f>
              <c:numCache>
                <c:formatCode>General</c:formatCode>
                <c:ptCount val="3"/>
                <c:pt idx="0">
                  <c:v>36700</c:v>
                </c:pt>
                <c:pt idx="1">
                  <c:v>37500</c:v>
                </c:pt>
                <c:pt idx="2">
                  <c:v>35700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5-4C11-9D56-CC2C98C9AF38}"/>
            </c:ext>
          </c:extLst>
        </c:ser>
        <c:ser>
          <c:idx val="1"/>
          <c:order val="1"/>
          <c:tx>
            <c:strRef>
              <c:f>'Pivots &amp; Analysis'!$O$58</c:f>
              <c:strCache>
                <c:ptCount val="1"/>
                <c:pt idx="0">
                  <c:v>Sum of ActualDowntimeCost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&amp; Analysis'!$M$59:$M$62</c:f>
              <c:strCache>
                <c:ptCount val="3"/>
                <c:pt idx="0">
                  <c:v>TeamA</c:v>
                </c:pt>
                <c:pt idx="1">
                  <c:v>TeamB</c:v>
                </c:pt>
                <c:pt idx="2">
                  <c:v>TeamC</c:v>
                </c:pt>
              </c:strCache>
            </c:strRef>
          </c:cat>
          <c:val>
            <c:numRef>
              <c:f>'Pivots &amp; Analysis'!$O$59:$O$62</c:f>
              <c:numCache>
                <c:formatCode>General</c:formatCode>
                <c:ptCount val="3"/>
                <c:pt idx="0">
                  <c:v>39600</c:v>
                </c:pt>
                <c:pt idx="1">
                  <c:v>42200</c:v>
                </c:pt>
                <c:pt idx="2">
                  <c:v>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5-4C11-9D56-CC2C98C9AF38}"/>
            </c:ext>
          </c:extLst>
        </c:ser>
        <c:ser>
          <c:idx val="2"/>
          <c:order val="2"/>
          <c:tx>
            <c:strRef>
              <c:f>'Pivots &amp; Analysis'!$P$58</c:f>
              <c:strCache>
                <c:ptCount val="1"/>
                <c:pt idx="0">
                  <c:v>Sum of Cost Variance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'Pivots &amp; Analysis'!$M$59:$M$62</c:f>
              <c:strCache>
                <c:ptCount val="3"/>
                <c:pt idx="0">
                  <c:v>TeamA</c:v>
                </c:pt>
                <c:pt idx="1">
                  <c:v>TeamB</c:v>
                </c:pt>
                <c:pt idx="2">
                  <c:v>TeamC</c:v>
                </c:pt>
              </c:strCache>
            </c:strRef>
          </c:cat>
          <c:val>
            <c:numRef>
              <c:f>'Pivots &amp; Analysis'!$P$59:$P$62</c:f>
              <c:numCache>
                <c:formatCode>General</c:formatCode>
                <c:ptCount val="3"/>
                <c:pt idx="0">
                  <c:v>2900</c:v>
                </c:pt>
                <c:pt idx="1">
                  <c:v>4700</c:v>
                </c:pt>
                <c:pt idx="2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15-4C11-9D56-CC2C98C9A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382472"/>
        <c:axId val="1360388104"/>
      </c:barChart>
      <c:catAx>
        <c:axId val="136038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88104"/>
        <c:crosses val="autoZero"/>
        <c:auto val="1"/>
        <c:lblAlgn val="ctr"/>
        <c:lblOffset val="100"/>
        <c:noMultiLvlLbl val="0"/>
      </c:catAx>
      <c:valAx>
        <c:axId val="1360388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8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15608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&amp; Analysis'!$N$81</c:f>
              <c:strCache>
                <c:ptCount val="1"/>
                <c:pt idx="0">
                  <c:v>Sum of UnitsPlanned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156082"/>
              </a:solidFill>
              <a:prstDash val="solid"/>
            </a:ln>
            <a:effectLst/>
          </c:spPr>
          <c:invertIfNegative val="0"/>
          <c:cat>
            <c:strRef>
              <c:f>'Pivots &amp; Analysis'!$M$82:$M$85</c:f>
              <c:strCache>
                <c:ptCount val="3"/>
                <c:pt idx="0">
                  <c:v>Shift1</c:v>
                </c:pt>
                <c:pt idx="1">
                  <c:v>Shift2</c:v>
                </c:pt>
                <c:pt idx="2">
                  <c:v>Shift3</c:v>
                </c:pt>
              </c:strCache>
            </c:strRef>
          </c:cat>
          <c:val>
            <c:numRef>
              <c:f>'Pivots &amp; Analysis'!$N$82:$N$85</c:f>
              <c:numCache>
                <c:formatCode>General</c:formatCode>
                <c:ptCount val="3"/>
                <c:pt idx="0">
                  <c:v>9600</c:v>
                </c:pt>
                <c:pt idx="1">
                  <c:v>9960</c:v>
                </c:pt>
                <c:pt idx="2">
                  <c:v>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5-4C29-B81F-C6D79F306044}"/>
            </c:ext>
          </c:extLst>
        </c:ser>
        <c:ser>
          <c:idx val="1"/>
          <c:order val="1"/>
          <c:tx>
            <c:strRef>
              <c:f>'Pivots &amp; Analysis'!$O$81</c:f>
              <c:strCache>
                <c:ptCount val="1"/>
                <c:pt idx="0">
                  <c:v>Sum of UnitsProduced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&amp; Analysis'!$M$82:$M$85</c:f>
              <c:strCache>
                <c:ptCount val="3"/>
                <c:pt idx="0">
                  <c:v>Shift1</c:v>
                </c:pt>
                <c:pt idx="1">
                  <c:v>Shift2</c:v>
                </c:pt>
                <c:pt idx="2">
                  <c:v>Shift3</c:v>
                </c:pt>
              </c:strCache>
            </c:strRef>
          </c:cat>
          <c:val>
            <c:numRef>
              <c:f>'Pivots &amp; Analysis'!$O$82:$O$85</c:f>
              <c:numCache>
                <c:formatCode>General</c:formatCode>
                <c:ptCount val="3"/>
                <c:pt idx="0">
                  <c:v>8940</c:v>
                </c:pt>
                <c:pt idx="1">
                  <c:v>9210</c:v>
                </c:pt>
                <c:pt idx="2">
                  <c:v>8670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5-4C29-B81F-C6D79F306044}"/>
            </c:ext>
          </c:extLst>
        </c:ser>
        <c:ser>
          <c:idx val="2"/>
          <c:order val="2"/>
          <c:tx>
            <c:strRef>
              <c:f>'Pivots &amp; Analysis'!$P$81</c:f>
              <c:strCache>
                <c:ptCount val="1"/>
                <c:pt idx="0">
                  <c:v>Sum of Lost 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'Pivots &amp; Analysis'!$M$82:$M$85</c:f>
              <c:strCache>
                <c:ptCount val="3"/>
                <c:pt idx="0">
                  <c:v>Shift1</c:v>
                </c:pt>
                <c:pt idx="1">
                  <c:v>Shift2</c:v>
                </c:pt>
                <c:pt idx="2">
                  <c:v>Shift3</c:v>
                </c:pt>
              </c:strCache>
            </c:strRef>
          </c:cat>
          <c:val>
            <c:numRef>
              <c:f>'Pivots &amp; Analysis'!$P$82:$P$85</c:f>
              <c:numCache>
                <c:formatCode>General</c:formatCode>
                <c:ptCount val="3"/>
                <c:pt idx="0">
                  <c:v>660</c:v>
                </c:pt>
                <c:pt idx="1">
                  <c:v>750</c:v>
                </c:pt>
                <c:pt idx="2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35-408F-8EE3-92261A3E5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0388616"/>
        <c:axId val="1480390664"/>
      </c:barChart>
      <c:catAx>
        <c:axId val="148038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390664"/>
        <c:crosses val="autoZero"/>
        <c:auto val="1"/>
        <c:lblAlgn val="ctr"/>
        <c:lblOffset val="100"/>
        <c:noMultiLvlLbl val="0"/>
      </c:catAx>
      <c:valAx>
        <c:axId val="1480390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38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23345232971282"/>
          <c:y val="5.7336460776648425E-2"/>
          <c:w val="0.85114336592170348"/>
          <c:h val="0.702927360819537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&amp; Analysis'!$G$124</c:f>
              <c:strCache>
                <c:ptCount val="1"/>
                <c:pt idx="0">
                  <c:v>Sum of DowntimeDurationHrs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&amp; Analysis'!$F$125:$F$129</c:f>
              <c:strCache>
                <c:ptCount val="4"/>
                <c:pt idx="0">
                  <c:v>Machine Failure</c:v>
                </c:pt>
                <c:pt idx="1">
                  <c:v>Maintenance</c:v>
                </c:pt>
                <c:pt idx="2">
                  <c:v>Operator Error</c:v>
                </c:pt>
                <c:pt idx="3">
                  <c:v>Supply Shortage</c:v>
                </c:pt>
              </c:strCache>
            </c:strRef>
          </c:cat>
          <c:val>
            <c:numRef>
              <c:f>'Pivots &amp; Analysis'!$G$125:$G$129</c:f>
              <c:numCache>
                <c:formatCode>General</c:formatCode>
                <c:ptCount val="4"/>
                <c:pt idx="0">
                  <c:v>19.5</c:v>
                </c:pt>
                <c:pt idx="1">
                  <c:v>22</c:v>
                </c:pt>
                <c:pt idx="2">
                  <c:v>13.5</c:v>
                </c:pt>
                <c:pt idx="3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9-4D93-93F2-DE6F45CD4D88}"/>
            </c:ext>
          </c:extLst>
        </c:ser>
        <c:ser>
          <c:idx val="1"/>
          <c:order val="1"/>
          <c:tx>
            <c:strRef>
              <c:f>'Pivots &amp; Analysis'!$H$124</c:f>
              <c:strCache>
                <c:ptCount val="1"/>
                <c:pt idx="0">
                  <c:v>Sum of Cost of Downtime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&amp; Analysis'!$F$125:$F$129</c:f>
              <c:strCache>
                <c:ptCount val="4"/>
                <c:pt idx="0">
                  <c:v>Machine Failure</c:v>
                </c:pt>
                <c:pt idx="1">
                  <c:v>Maintenance</c:v>
                </c:pt>
                <c:pt idx="2">
                  <c:v>Operator Error</c:v>
                </c:pt>
                <c:pt idx="3">
                  <c:v>Supply Shortage</c:v>
                </c:pt>
              </c:strCache>
            </c:strRef>
          </c:cat>
          <c:val>
            <c:numRef>
              <c:f>'Pivots &amp; Analysis'!$H$125:$H$129</c:f>
              <c:numCache>
                <c:formatCode>General</c:formatCode>
                <c:ptCount val="4"/>
                <c:pt idx="0">
                  <c:v>29700</c:v>
                </c:pt>
                <c:pt idx="1">
                  <c:v>32100</c:v>
                </c:pt>
                <c:pt idx="2">
                  <c:v>18500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B9-4D93-93F2-DE6F45CD4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588118024"/>
        <c:axId val="1059235336"/>
      </c:barChart>
      <c:catAx>
        <c:axId val="588118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35336"/>
        <c:crosses val="autoZero"/>
        <c:auto val="1"/>
        <c:lblAlgn val="ctr"/>
        <c:lblOffset val="100"/>
        <c:noMultiLvlLbl val="0"/>
      </c:catAx>
      <c:valAx>
        <c:axId val="1059235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1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&amp; Analysis'!$I$58</c:f>
              <c:strCache>
                <c:ptCount val="1"/>
                <c:pt idx="0">
                  <c:v>Sum of DowntimeDurationHrs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&amp; Analysis'!$H$59:$H$70</c:f>
              <c:strCache>
                <c:ptCount val="11"/>
                <c:pt idx="0">
                  <c:v>M23</c:v>
                </c:pt>
                <c:pt idx="1">
                  <c:v>M43</c:v>
                </c:pt>
                <c:pt idx="2">
                  <c:v>M25</c:v>
                </c:pt>
                <c:pt idx="3">
                  <c:v>M20</c:v>
                </c:pt>
                <c:pt idx="4">
                  <c:v>M39</c:v>
                </c:pt>
                <c:pt idx="5">
                  <c:v>M3</c:v>
                </c:pt>
                <c:pt idx="6">
                  <c:v>M15</c:v>
                </c:pt>
                <c:pt idx="7">
                  <c:v>M35</c:v>
                </c:pt>
                <c:pt idx="8">
                  <c:v>M47</c:v>
                </c:pt>
                <c:pt idx="9">
                  <c:v>M27</c:v>
                </c:pt>
                <c:pt idx="10">
                  <c:v>M8</c:v>
                </c:pt>
              </c:strCache>
            </c:strRef>
          </c:cat>
          <c:val>
            <c:numRef>
              <c:f>'Pivots &amp; Analysis'!$I$59:$I$70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6-439A-8D53-A2AAA48BC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292186119"/>
        <c:axId val="292192263"/>
      </c:barChart>
      <c:lineChart>
        <c:grouping val="standard"/>
        <c:varyColors val="0"/>
        <c:ser>
          <c:idx val="1"/>
          <c:order val="1"/>
          <c:tx>
            <c:strRef>
              <c:f>'Pivots &amp; Analysis'!$J$58</c:f>
              <c:strCache>
                <c:ptCount val="1"/>
                <c:pt idx="0">
                  <c:v>Average of Production Efficiency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'Pivots &amp; Analysis'!$H$59:$H$70</c:f>
              <c:strCache>
                <c:ptCount val="11"/>
                <c:pt idx="0">
                  <c:v>M23</c:v>
                </c:pt>
                <c:pt idx="1">
                  <c:v>M43</c:v>
                </c:pt>
                <c:pt idx="2">
                  <c:v>M25</c:v>
                </c:pt>
                <c:pt idx="3">
                  <c:v>M20</c:v>
                </c:pt>
                <c:pt idx="4">
                  <c:v>M39</c:v>
                </c:pt>
                <c:pt idx="5">
                  <c:v>M3</c:v>
                </c:pt>
                <c:pt idx="6">
                  <c:v>M15</c:v>
                </c:pt>
                <c:pt idx="7">
                  <c:v>M35</c:v>
                </c:pt>
                <c:pt idx="8">
                  <c:v>M47</c:v>
                </c:pt>
                <c:pt idx="9">
                  <c:v>M27</c:v>
                </c:pt>
                <c:pt idx="10">
                  <c:v>M8</c:v>
                </c:pt>
              </c:strCache>
            </c:strRef>
          </c:cat>
          <c:val>
            <c:numRef>
              <c:f>'Pivots &amp; Analysis'!$J$59:$J$70</c:f>
              <c:numCache>
                <c:formatCode>0%</c:formatCode>
                <c:ptCount val="11"/>
                <c:pt idx="0">
                  <c:v>0.9285714285714286</c:v>
                </c:pt>
                <c:pt idx="1">
                  <c:v>0.9285714285714286</c:v>
                </c:pt>
                <c:pt idx="2">
                  <c:v>0.92</c:v>
                </c:pt>
                <c:pt idx="3">
                  <c:v>0.94</c:v>
                </c:pt>
                <c:pt idx="4">
                  <c:v>0.94285714285714284</c:v>
                </c:pt>
                <c:pt idx="5">
                  <c:v>0.82857142857142863</c:v>
                </c:pt>
                <c:pt idx="6">
                  <c:v>0.88571428571428568</c:v>
                </c:pt>
                <c:pt idx="7">
                  <c:v>0.88571428571428568</c:v>
                </c:pt>
                <c:pt idx="8">
                  <c:v>0.88571428571428568</c:v>
                </c:pt>
                <c:pt idx="9">
                  <c:v>0.88571428571428568</c:v>
                </c:pt>
                <c:pt idx="10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36-439A-8D53-A2AAA48BC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0800"/>
        <c:axId val="488715024"/>
      </c:lineChart>
      <c:catAx>
        <c:axId val="292186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192263"/>
        <c:crosses val="autoZero"/>
        <c:auto val="1"/>
        <c:lblAlgn val="ctr"/>
        <c:lblOffset val="100"/>
        <c:noMultiLvlLbl val="0"/>
      </c:catAx>
      <c:valAx>
        <c:axId val="292192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186119"/>
        <c:crosses val="autoZero"/>
        <c:crossBetween val="between"/>
        <c:majorUnit val="0.5"/>
      </c:valAx>
      <c:valAx>
        <c:axId val="48871502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800"/>
        <c:crosses val="max"/>
        <c:crossBetween val="between"/>
      </c:valAx>
      <c:catAx>
        <c:axId val="4680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8715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This</a:t>
            </a:r>
            <a:r>
              <a:rPr lang="en-US" baseline="0"/>
              <a:t> is </a:t>
            </a:r>
            <a:r>
              <a:rPr lang="en-US">
                <a:solidFill>
                  <a:schemeClr val="accent1"/>
                </a:solidFill>
              </a:rPr>
              <a:t>OEE</a:t>
            </a:r>
            <a:r>
              <a:rPr lang="en-US"/>
              <a:t> Split by </a:t>
            </a:r>
            <a:r>
              <a:rPr lang="en-US">
                <a:solidFill>
                  <a:schemeClr val="accent1"/>
                </a:solidFill>
              </a:rPr>
              <a:t>Machine Age (Hrs)....</a:t>
            </a:r>
          </a:p>
        </c:rich>
      </c:tx>
      <c:layout>
        <c:manualLayout>
          <c:xMode val="edge"/>
          <c:yMode val="edge"/>
          <c:x val="5.6783608855175824E-3"/>
          <c:y val="1.1224510397738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01196766849768"/>
          <c:y val="0.16748285994123405"/>
          <c:w val="0.82808440722098065"/>
          <c:h val="0.832517140058765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'Pivots &amp; Analysis'!$C$73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Analysis'!$B$74:$B$84</c:f>
              <c:strCache>
                <c:ptCount val="10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9000</c:v>
                </c:pt>
                <c:pt idx="5">
                  <c:v>10000</c:v>
                </c:pt>
                <c:pt idx="6">
                  <c:v>11000</c:v>
                </c:pt>
                <c:pt idx="7">
                  <c:v>12000</c:v>
                </c:pt>
                <c:pt idx="8">
                  <c:v>13000</c:v>
                </c:pt>
                <c:pt idx="9">
                  <c:v>15000</c:v>
                </c:pt>
              </c:strCache>
            </c:strRef>
          </c:cat>
          <c:val>
            <c:numRef>
              <c:f>'Pivots &amp; Analysis'!$C$74:$C$84</c:f>
              <c:numCache>
                <c:formatCode>0%</c:formatCode>
                <c:ptCount val="10"/>
                <c:pt idx="0">
                  <c:v>0.58076479076479082</c:v>
                </c:pt>
                <c:pt idx="1">
                  <c:v>0.6584404761904763</c:v>
                </c:pt>
                <c:pt idx="2">
                  <c:v>0.62847374847374848</c:v>
                </c:pt>
                <c:pt idx="3">
                  <c:v>0.63364772727272711</c:v>
                </c:pt>
                <c:pt idx="4">
                  <c:v>0.60881822344322356</c:v>
                </c:pt>
                <c:pt idx="5">
                  <c:v>0.66637435897435893</c:v>
                </c:pt>
                <c:pt idx="6">
                  <c:v>0.56643272283272295</c:v>
                </c:pt>
                <c:pt idx="7">
                  <c:v>0.6016841269841271</c:v>
                </c:pt>
                <c:pt idx="8">
                  <c:v>0.6150461538461538</c:v>
                </c:pt>
                <c:pt idx="9">
                  <c:v>0.5866476190476192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9-4CBF-8F71-076C519B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axId val="1305950215"/>
        <c:axId val="1305952263"/>
      </c:barChart>
      <c:catAx>
        <c:axId val="1305950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52263"/>
        <c:crosses val="autoZero"/>
        <c:auto val="1"/>
        <c:lblAlgn val="ctr"/>
        <c:lblOffset val="100"/>
        <c:noMultiLvlLbl val="0"/>
      </c:catAx>
      <c:valAx>
        <c:axId val="130595226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305950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Production </a:t>
            </a:r>
            <a:r>
              <a:rPr lang="en-US">
                <a:solidFill>
                  <a:schemeClr val="accent2"/>
                </a:solidFill>
              </a:rPr>
              <a:t>Output</a:t>
            </a:r>
            <a:r>
              <a:rPr lang="en-US"/>
              <a:t> Same as </a:t>
            </a:r>
            <a:r>
              <a:rPr lang="en-US">
                <a:solidFill>
                  <a:schemeClr val="accent4"/>
                </a:solidFill>
              </a:rPr>
              <a:t>Planned</a:t>
            </a:r>
            <a:r>
              <a:rPr lang="en-US"/>
              <a:t>?</a:t>
            </a:r>
          </a:p>
        </c:rich>
      </c:tx>
      <c:layout>
        <c:manualLayout>
          <c:xMode val="edge"/>
          <c:yMode val="edge"/>
          <c:x val="0.12991452991452992"/>
          <c:y val="1.2519561815336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15608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C769E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0C769E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83CCEB"/>
          </a:solidFill>
          <a:ln>
            <a:solidFill>
              <a:srgbClr val="15608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620970455616127E-2"/>
          <c:y val="0.24273655933853339"/>
          <c:w val="0.88851578168113599"/>
          <c:h val="0.75726344066146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&amp; Analysis'!$N$81</c:f>
              <c:strCache>
                <c:ptCount val="1"/>
                <c:pt idx="0">
                  <c:v>Sum of UnitsPlanned</c:v>
                </c:pt>
              </c:strCache>
            </c:strRef>
          </c:tx>
          <c:spPr>
            <a:solidFill>
              <a:srgbClr val="83CCEB"/>
            </a:solidFill>
            <a:ln>
              <a:solidFill>
                <a:srgbClr val="156082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Analysis'!$M$82:$M$85</c:f>
              <c:strCache>
                <c:ptCount val="3"/>
                <c:pt idx="0">
                  <c:v>Shift1</c:v>
                </c:pt>
                <c:pt idx="1">
                  <c:v>Shift2</c:v>
                </c:pt>
                <c:pt idx="2">
                  <c:v>Shift3</c:v>
                </c:pt>
              </c:strCache>
            </c:strRef>
          </c:cat>
          <c:val>
            <c:numRef>
              <c:f>'Pivots &amp; Analysis'!$N$82:$N$85</c:f>
              <c:numCache>
                <c:formatCode>General</c:formatCode>
                <c:ptCount val="3"/>
                <c:pt idx="0">
                  <c:v>9600</c:v>
                </c:pt>
                <c:pt idx="1">
                  <c:v>9960</c:v>
                </c:pt>
                <c:pt idx="2">
                  <c:v>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8-46A9-83E7-5BB7F3DA9FEB}"/>
            </c:ext>
          </c:extLst>
        </c:ser>
        <c:ser>
          <c:idx val="1"/>
          <c:order val="1"/>
          <c:tx>
            <c:strRef>
              <c:f>'Pivots &amp; Analysis'!$O$81</c:f>
              <c:strCache>
                <c:ptCount val="1"/>
                <c:pt idx="0">
                  <c:v>Sum of UnitsProduced</c:v>
                </c:pt>
              </c:strCache>
            </c:strRef>
          </c:tx>
          <c:spPr>
            <a:solidFill>
              <a:srgbClr val="F1A983"/>
            </a:solidFill>
            <a:ln>
              <a:solidFill>
                <a:srgbClr val="BE5014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Analysis'!$M$82:$M$85</c:f>
              <c:strCache>
                <c:ptCount val="3"/>
                <c:pt idx="0">
                  <c:v>Shift1</c:v>
                </c:pt>
                <c:pt idx="1">
                  <c:v>Shift2</c:v>
                </c:pt>
                <c:pt idx="2">
                  <c:v>Shift3</c:v>
                </c:pt>
              </c:strCache>
            </c:strRef>
          </c:cat>
          <c:val>
            <c:numRef>
              <c:f>'Pivots &amp; Analysis'!$O$82:$O$85</c:f>
              <c:numCache>
                <c:formatCode>General</c:formatCode>
                <c:ptCount val="3"/>
                <c:pt idx="0">
                  <c:v>8940</c:v>
                </c:pt>
                <c:pt idx="1">
                  <c:v>9210</c:v>
                </c:pt>
                <c:pt idx="2">
                  <c:v>8670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8-46A9-83E7-5BB7F3DA9FEB}"/>
            </c:ext>
          </c:extLst>
        </c:ser>
        <c:ser>
          <c:idx val="2"/>
          <c:order val="2"/>
          <c:tx>
            <c:strRef>
              <c:f>'Pivots &amp; Analysis'!$P$81</c:f>
              <c:strCache>
                <c:ptCount val="1"/>
                <c:pt idx="0">
                  <c:v>Sum of Lost 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Analysis'!$M$82:$M$85</c:f>
              <c:strCache>
                <c:ptCount val="3"/>
                <c:pt idx="0">
                  <c:v>Shift1</c:v>
                </c:pt>
                <c:pt idx="1">
                  <c:v>Shift2</c:v>
                </c:pt>
                <c:pt idx="2">
                  <c:v>Shift3</c:v>
                </c:pt>
              </c:strCache>
            </c:strRef>
          </c:cat>
          <c:val>
            <c:numRef>
              <c:f>'Pivots &amp; Analysis'!$P$82:$P$85</c:f>
              <c:numCache>
                <c:formatCode>General</c:formatCode>
                <c:ptCount val="3"/>
                <c:pt idx="0">
                  <c:v>660</c:v>
                </c:pt>
                <c:pt idx="1">
                  <c:v>750</c:v>
                </c:pt>
                <c:pt idx="2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28-46A9-83E7-5BB7F3DA9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480388616"/>
        <c:axId val="1480390664"/>
      </c:barChart>
      <c:catAx>
        <c:axId val="1480388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0390664"/>
        <c:crosses val="autoZero"/>
        <c:auto val="1"/>
        <c:lblAlgn val="ctr"/>
        <c:lblOffset val="100"/>
        <c:noMultiLvlLbl val="0"/>
      </c:catAx>
      <c:valAx>
        <c:axId val="14803906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038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7094017094017096E-2"/>
          <c:y val="7.4792552339408278E-2"/>
          <c:w val="0.97117428297293651"/>
          <c:h val="0.21371925924766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E8E8E8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&amp;</a:t>
            </a:r>
            <a:r>
              <a:rPr lang="en-US" sz="1200" b="1" baseline="0"/>
              <a:t> The </a:t>
            </a:r>
            <a:r>
              <a:rPr lang="en-US" sz="1200" b="1"/>
              <a:t>Trend of </a:t>
            </a:r>
            <a:r>
              <a:rPr lang="en-US" sz="1200" b="1" i="0" u="none" strike="noStrike" kern="1200" spc="0" baseline="0">
                <a:solidFill>
                  <a:schemeClr val="accent1"/>
                </a:solidFill>
              </a:rPr>
              <a:t>Production Time</a:t>
            </a:r>
            <a:r>
              <a:rPr lang="en-US" sz="1200" b="1" i="0" u="none" strike="noStrike" kern="1200" spc="0" baseline="0">
                <a:solidFill>
                  <a:srgbClr val="000000"/>
                </a:solidFill>
              </a:rPr>
              <a:t>We've </a:t>
            </a:r>
            <a:r>
              <a:rPr lang="en-US" sz="1200" b="1" i="0" u="none" strike="noStrike" kern="1200" spc="0" baseline="0">
                <a:solidFill>
                  <a:srgbClr val="FF0000"/>
                </a:solidFill>
              </a:rPr>
              <a:t>Lost</a:t>
            </a:r>
            <a:r>
              <a:rPr lang="en-US" sz="1200" b="1">
                <a:solidFill>
                  <a:schemeClr val="accent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21621961189277572"/>
          <c:y val="6.8093832020997364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196B24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196B24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196B24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971472828191557E-2"/>
          <c:y val="0.27605916447944007"/>
          <c:w val="0.8919738823630653"/>
          <c:h val="0.68156222659667542"/>
        </c:manualLayout>
      </c:layout>
      <c:lineChart>
        <c:grouping val="standard"/>
        <c:varyColors val="0"/>
        <c:ser>
          <c:idx val="0"/>
          <c:order val="0"/>
          <c:tx>
            <c:strRef>
              <c:f>'Pivots &amp; Analysis'!$C$87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74F69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'Pivots &amp; Analysis'!$B$88:$B$138</c:f>
              <c:strCache>
                <c:ptCount val="50"/>
                <c:pt idx="0">
                  <c:v>01-05-2026 08:00</c:v>
                </c:pt>
                <c:pt idx="1">
                  <c:v>01-05-2026 14:00</c:v>
                </c:pt>
                <c:pt idx="2">
                  <c:v>02-05-2026 09:00</c:v>
                </c:pt>
                <c:pt idx="3">
                  <c:v>02-05-2026 13:00</c:v>
                </c:pt>
                <c:pt idx="4">
                  <c:v>03-05-2026 08:30</c:v>
                </c:pt>
                <c:pt idx="5">
                  <c:v>03-05-2026 15:00</c:v>
                </c:pt>
                <c:pt idx="6">
                  <c:v>04-05-2026 09:00</c:v>
                </c:pt>
                <c:pt idx="7">
                  <c:v>04-05-2026 12:00</c:v>
                </c:pt>
                <c:pt idx="8">
                  <c:v>05-05-2026 08:00</c:v>
                </c:pt>
                <c:pt idx="9">
                  <c:v>05-05-2026 14:00</c:v>
                </c:pt>
                <c:pt idx="10">
                  <c:v>06-05-2026 09:00</c:v>
                </c:pt>
                <c:pt idx="11">
                  <c:v>06-05-2026 13:00</c:v>
                </c:pt>
                <c:pt idx="12">
                  <c:v>07-05-2026 08:00</c:v>
                </c:pt>
                <c:pt idx="13">
                  <c:v>07-05-2026 15:00</c:v>
                </c:pt>
                <c:pt idx="14">
                  <c:v>08-05-2026 09:00</c:v>
                </c:pt>
                <c:pt idx="15">
                  <c:v>08-05-2026 12:00</c:v>
                </c:pt>
                <c:pt idx="16">
                  <c:v>09-05-2026 08:30</c:v>
                </c:pt>
                <c:pt idx="17">
                  <c:v>09-05-2026 14:00</c:v>
                </c:pt>
                <c:pt idx="18">
                  <c:v>10-05-2026 09:00</c:v>
                </c:pt>
                <c:pt idx="19">
                  <c:v>10-05-2026 13:00</c:v>
                </c:pt>
                <c:pt idx="20">
                  <c:v>11-05-2026 08:00</c:v>
                </c:pt>
                <c:pt idx="21">
                  <c:v>11-05-2026 14:00</c:v>
                </c:pt>
                <c:pt idx="22">
                  <c:v>12-05-2026 09:00</c:v>
                </c:pt>
                <c:pt idx="23">
                  <c:v>12-05-2026 13:00</c:v>
                </c:pt>
                <c:pt idx="24">
                  <c:v>13-05-2026 08:00</c:v>
                </c:pt>
                <c:pt idx="25">
                  <c:v>13-05-2026 15:00</c:v>
                </c:pt>
                <c:pt idx="26">
                  <c:v>14-05-2026 09:00</c:v>
                </c:pt>
                <c:pt idx="27">
                  <c:v>14-05-2026 12:00</c:v>
                </c:pt>
                <c:pt idx="28">
                  <c:v>15-05-2026 08:30</c:v>
                </c:pt>
                <c:pt idx="29">
                  <c:v>15-05-2026 14:00</c:v>
                </c:pt>
                <c:pt idx="30">
                  <c:v>16-05-2026 09:00</c:v>
                </c:pt>
                <c:pt idx="31">
                  <c:v>16-05-2026 13:00</c:v>
                </c:pt>
                <c:pt idx="32">
                  <c:v>17-05-2026 08:00</c:v>
                </c:pt>
                <c:pt idx="33">
                  <c:v>17-05-2026 15:00</c:v>
                </c:pt>
                <c:pt idx="34">
                  <c:v>18-05-2026 09:00</c:v>
                </c:pt>
                <c:pt idx="35">
                  <c:v>18-05-2026 12:00</c:v>
                </c:pt>
                <c:pt idx="36">
                  <c:v>19-05-2026 08:30</c:v>
                </c:pt>
                <c:pt idx="37">
                  <c:v>19-05-2026 14:00</c:v>
                </c:pt>
                <c:pt idx="38">
                  <c:v>20-05-2026 09:00</c:v>
                </c:pt>
                <c:pt idx="39">
                  <c:v>20-05-2026 13:00</c:v>
                </c:pt>
                <c:pt idx="40">
                  <c:v>21-05-2026 08:00</c:v>
                </c:pt>
                <c:pt idx="41">
                  <c:v>21-05-2026 14:00</c:v>
                </c:pt>
                <c:pt idx="42">
                  <c:v>22-05-2026 09:00</c:v>
                </c:pt>
                <c:pt idx="43">
                  <c:v>22-05-2026 13:00</c:v>
                </c:pt>
                <c:pt idx="44">
                  <c:v>23-05-2026 08:00</c:v>
                </c:pt>
                <c:pt idx="45">
                  <c:v>23-05-2026 15:00</c:v>
                </c:pt>
                <c:pt idx="46">
                  <c:v>24-05-2026 09:00</c:v>
                </c:pt>
                <c:pt idx="47">
                  <c:v>24-05-2026 12:00</c:v>
                </c:pt>
                <c:pt idx="48">
                  <c:v>25-05-2026 08:30</c:v>
                </c:pt>
                <c:pt idx="49">
                  <c:v>25-05-2026 14:00</c:v>
                </c:pt>
              </c:strCache>
            </c:strRef>
          </c:cat>
          <c:val>
            <c:numRef>
              <c:f>'Pivots &amp; Analysis'!$C$88:$C$138</c:f>
              <c:numCache>
                <c:formatCode>General</c:formatCode>
                <c:ptCount val="50"/>
                <c:pt idx="0">
                  <c:v>2</c:v>
                </c:pt>
                <c:pt idx="1">
                  <c:v>1.5</c:v>
                </c:pt>
                <c:pt idx="2">
                  <c:v>2.5</c:v>
                </c:pt>
                <c:pt idx="3">
                  <c:v>1</c:v>
                </c:pt>
                <c:pt idx="4">
                  <c:v>1.5</c:v>
                </c:pt>
                <c:pt idx="5">
                  <c:v>1</c:v>
                </c:pt>
                <c:pt idx="6">
                  <c:v>2</c:v>
                </c:pt>
                <c:pt idx="7">
                  <c:v>2.5</c:v>
                </c:pt>
                <c:pt idx="8">
                  <c:v>1.5</c:v>
                </c:pt>
                <c:pt idx="9">
                  <c:v>1</c:v>
                </c:pt>
                <c:pt idx="10">
                  <c:v>2</c:v>
                </c:pt>
                <c:pt idx="11">
                  <c:v>1.5</c:v>
                </c:pt>
                <c:pt idx="12">
                  <c:v>2</c:v>
                </c:pt>
                <c:pt idx="13">
                  <c:v>1</c:v>
                </c:pt>
                <c:pt idx="14">
                  <c:v>2.5</c:v>
                </c:pt>
                <c:pt idx="15">
                  <c:v>1.5</c:v>
                </c:pt>
                <c:pt idx="16">
                  <c:v>1.5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1.5</c:v>
                </c:pt>
                <c:pt idx="21">
                  <c:v>1</c:v>
                </c:pt>
                <c:pt idx="22">
                  <c:v>2</c:v>
                </c:pt>
                <c:pt idx="23">
                  <c:v>1.5</c:v>
                </c:pt>
                <c:pt idx="24">
                  <c:v>2</c:v>
                </c:pt>
                <c:pt idx="25">
                  <c:v>1</c:v>
                </c:pt>
                <c:pt idx="26">
                  <c:v>2.5</c:v>
                </c:pt>
                <c:pt idx="27">
                  <c:v>1.5</c:v>
                </c:pt>
                <c:pt idx="28">
                  <c:v>1.5</c:v>
                </c:pt>
                <c:pt idx="29">
                  <c:v>1</c:v>
                </c:pt>
                <c:pt idx="30">
                  <c:v>2</c:v>
                </c:pt>
                <c:pt idx="31">
                  <c:v>1.5</c:v>
                </c:pt>
                <c:pt idx="32">
                  <c:v>2</c:v>
                </c:pt>
                <c:pt idx="33">
                  <c:v>1</c:v>
                </c:pt>
                <c:pt idx="34">
                  <c:v>2.5</c:v>
                </c:pt>
                <c:pt idx="35">
                  <c:v>1.5</c:v>
                </c:pt>
                <c:pt idx="36">
                  <c:v>1.5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1.5</c:v>
                </c:pt>
                <c:pt idx="41">
                  <c:v>1</c:v>
                </c:pt>
                <c:pt idx="42">
                  <c:v>2</c:v>
                </c:pt>
                <c:pt idx="43">
                  <c:v>1.5</c:v>
                </c:pt>
                <c:pt idx="44">
                  <c:v>2</c:v>
                </c:pt>
                <c:pt idx="45">
                  <c:v>1</c:v>
                </c:pt>
                <c:pt idx="46">
                  <c:v>2.5</c:v>
                </c:pt>
                <c:pt idx="47">
                  <c:v>1.5</c:v>
                </c:pt>
                <c:pt idx="48">
                  <c:v>1.5</c:v>
                </c:pt>
                <c:pt idx="4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8-4AEF-93D3-70CEE9FB8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555143"/>
        <c:axId val="1206557191"/>
      </c:lineChart>
      <c:catAx>
        <c:axId val="1206555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557191"/>
        <c:crosses val="autoZero"/>
        <c:auto val="1"/>
        <c:lblAlgn val="ctr"/>
        <c:lblOffset val="100"/>
        <c:noMultiLvlLbl val="0"/>
      </c:catAx>
      <c:valAx>
        <c:axId val="1206557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55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Analysis!PivotTable2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chemeClr val="tx1"/>
                </a:solidFill>
              </a:rPr>
              <a:t>Machine's </a:t>
            </a:r>
            <a:r>
              <a:rPr lang="en-US" sz="1200" b="1">
                <a:solidFill>
                  <a:schemeClr val="tx1"/>
                </a:solidFill>
              </a:rPr>
              <a:t>Downtime &amp; </a:t>
            </a:r>
            <a:r>
              <a:rPr lang="en-US" sz="1200" b="1">
                <a:solidFill>
                  <a:schemeClr val="accent2"/>
                </a:solidFill>
              </a:rPr>
              <a:t>Production</a:t>
            </a:r>
            <a:r>
              <a:rPr lang="en-US" sz="1200" b="1">
                <a:solidFill>
                  <a:schemeClr val="tx1"/>
                </a:solidFill>
              </a:rPr>
              <a:t> </a:t>
            </a:r>
            <a:r>
              <a:rPr lang="en-US" sz="1200" b="1">
                <a:solidFill>
                  <a:schemeClr val="accent2"/>
                </a:solidFill>
              </a:rPr>
              <a:t>Efficiency</a:t>
            </a:r>
            <a:r>
              <a:rPr lang="en-US" sz="1200" b="1">
                <a:solidFill>
                  <a:schemeClr val="tx1"/>
                </a:solidFill>
              </a:rPr>
              <a:t> Level</a:t>
            </a:r>
            <a:r>
              <a:rPr lang="en-US" sz="1200" b="1" baseline="0">
                <a:solidFill>
                  <a:schemeClr val="tx1"/>
                </a:solidFill>
              </a:rPr>
              <a:t> </a:t>
            </a:r>
            <a:r>
              <a:rPr lang="en-US" sz="1200" b="1">
                <a:solidFill>
                  <a:schemeClr val="tx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8.3916083916083919E-2"/>
          <c:y val="1.6295021945786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7C7A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7C7AC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072747981973949E-2"/>
          <c:y val="0.21722496552337739"/>
          <c:w val="0.83777274302976279"/>
          <c:h val="0.75011062957005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&amp; Analysis'!$I$58</c:f>
              <c:strCache>
                <c:ptCount val="1"/>
                <c:pt idx="0">
                  <c:v>Sum of DowntimeDurationHrs</c:v>
                </c:pt>
              </c:strCache>
            </c:strRef>
          </c:tx>
          <c:spPr>
            <a:solidFill>
              <a:srgbClr val="F7C7AC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Analysis'!$H$59:$H$70</c:f>
              <c:strCache>
                <c:ptCount val="11"/>
                <c:pt idx="0">
                  <c:v>M23</c:v>
                </c:pt>
                <c:pt idx="1">
                  <c:v>M43</c:v>
                </c:pt>
                <c:pt idx="2">
                  <c:v>M25</c:v>
                </c:pt>
                <c:pt idx="3">
                  <c:v>M20</c:v>
                </c:pt>
                <c:pt idx="4">
                  <c:v>M39</c:v>
                </c:pt>
                <c:pt idx="5">
                  <c:v>M3</c:v>
                </c:pt>
                <c:pt idx="6">
                  <c:v>M15</c:v>
                </c:pt>
                <c:pt idx="7">
                  <c:v>M35</c:v>
                </c:pt>
                <c:pt idx="8">
                  <c:v>M47</c:v>
                </c:pt>
                <c:pt idx="9">
                  <c:v>M27</c:v>
                </c:pt>
                <c:pt idx="10">
                  <c:v>M8</c:v>
                </c:pt>
              </c:strCache>
            </c:strRef>
          </c:cat>
          <c:val>
            <c:numRef>
              <c:f>'Pivots &amp; Analysis'!$I$59:$I$70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0-48DF-A1B6-61003A9A5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92186119"/>
        <c:axId val="292192263"/>
      </c:barChart>
      <c:lineChart>
        <c:grouping val="standard"/>
        <c:varyColors val="0"/>
        <c:ser>
          <c:idx val="1"/>
          <c:order val="1"/>
          <c:tx>
            <c:strRef>
              <c:f>'Pivots &amp; Analysis'!$J$58</c:f>
              <c:strCache>
                <c:ptCount val="1"/>
                <c:pt idx="0">
                  <c:v>Average of Production Efficiency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'Pivots &amp; Analysis'!$H$59:$H$70</c:f>
              <c:strCache>
                <c:ptCount val="11"/>
                <c:pt idx="0">
                  <c:v>M23</c:v>
                </c:pt>
                <c:pt idx="1">
                  <c:v>M43</c:v>
                </c:pt>
                <c:pt idx="2">
                  <c:v>M25</c:v>
                </c:pt>
                <c:pt idx="3">
                  <c:v>M20</c:v>
                </c:pt>
                <c:pt idx="4">
                  <c:v>M39</c:v>
                </c:pt>
                <c:pt idx="5">
                  <c:v>M3</c:v>
                </c:pt>
                <c:pt idx="6">
                  <c:v>M15</c:v>
                </c:pt>
                <c:pt idx="7">
                  <c:v>M35</c:v>
                </c:pt>
                <c:pt idx="8">
                  <c:v>M47</c:v>
                </c:pt>
                <c:pt idx="9">
                  <c:v>M27</c:v>
                </c:pt>
                <c:pt idx="10">
                  <c:v>M8</c:v>
                </c:pt>
              </c:strCache>
            </c:strRef>
          </c:cat>
          <c:val>
            <c:numRef>
              <c:f>'Pivots &amp; Analysis'!$J$59:$J$70</c:f>
              <c:numCache>
                <c:formatCode>0%</c:formatCode>
                <c:ptCount val="11"/>
                <c:pt idx="0">
                  <c:v>0.9285714285714286</c:v>
                </c:pt>
                <c:pt idx="1">
                  <c:v>0.9285714285714286</c:v>
                </c:pt>
                <c:pt idx="2">
                  <c:v>0.92</c:v>
                </c:pt>
                <c:pt idx="3">
                  <c:v>0.94</c:v>
                </c:pt>
                <c:pt idx="4">
                  <c:v>0.94285714285714284</c:v>
                </c:pt>
                <c:pt idx="5">
                  <c:v>0.82857142857142863</c:v>
                </c:pt>
                <c:pt idx="6">
                  <c:v>0.88571428571428568</c:v>
                </c:pt>
                <c:pt idx="7">
                  <c:v>0.88571428571428568</c:v>
                </c:pt>
                <c:pt idx="8">
                  <c:v>0.88571428571428568</c:v>
                </c:pt>
                <c:pt idx="9">
                  <c:v>0.88571428571428568</c:v>
                </c:pt>
                <c:pt idx="10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0-48DF-A1B6-61003A9A5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0800"/>
        <c:axId val="488715024"/>
      </c:lineChart>
      <c:catAx>
        <c:axId val="292186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2192263"/>
        <c:crosses val="autoZero"/>
        <c:auto val="1"/>
        <c:lblAlgn val="ctr"/>
        <c:lblOffset val="100"/>
        <c:noMultiLvlLbl val="0"/>
      </c:catAx>
      <c:valAx>
        <c:axId val="292192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186119"/>
        <c:crosses val="autoZero"/>
        <c:crossBetween val="between"/>
        <c:majorUnit val="0.5"/>
      </c:valAx>
      <c:valAx>
        <c:axId val="48871502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800"/>
        <c:crosses val="max"/>
        <c:crossBetween val="between"/>
      </c:valAx>
      <c:catAx>
        <c:axId val="4680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8715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2386310102845531E-4"/>
          <c:y val="0.10848987013878165"/>
          <c:w val="0.993209622682515"/>
          <c:h val="0.140101829778922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Here is Every </a:t>
            </a:r>
            <a:r>
              <a:rPr lang="en-US" sz="1200">
                <a:solidFill>
                  <a:schemeClr val="accent2"/>
                </a:solidFill>
              </a:rPr>
              <a:t>Team's</a:t>
            </a:r>
            <a:r>
              <a:rPr lang="en-US" sz="1200"/>
              <a:t> Downtime    </a:t>
            </a:r>
          </a:p>
        </c:rich>
      </c:tx>
      <c:layout>
        <c:manualLayout>
          <c:xMode val="edge"/>
          <c:yMode val="edge"/>
          <c:x val="0.16224127805942068"/>
          <c:y val="2.1213406016555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5608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5608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5608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5608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15608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7C7AC"/>
          </a:solidFill>
          <a:ln w="25400">
            <a:solidFill>
              <a:srgbClr val="F1A98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7C7AC"/>
          </a:solidFill>
          <a:ln w="25400">
            <a:solidFill>
              <a:srgbClr val="F1A98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7C7AC"/>
          </a:solidFill>
          <a:ln w="25400">
            <a:solidFill>
              <a:srgbClr val="F1A98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7C7AC"/>
          </a:solidFill>
          <a:ln w="25400">
            <a:solidFill>
              <a:srgbClr val="F1A98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7C7AC"/>
          </a:solidFill>
          <a:ln w="25400">
            <a:solidFill>
              <a:srgbClr val="F1A98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7C7AC"/>
          </a:solidFill>
          <a:ln w="25400">
            <a:solidFill>
              <a:srgbClr val="F1A98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7C7AC"/>
          </a:solidFill>
          <a:ln w="25400">
            <a:solidFill>
              <a:srgbClr val="F1A98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890266710673115E-3"/>
          <c:y val="0.19796521378032614"/>
          <c:w val="0.9871406792713785"/>
          <c:h val="0.679531285769806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'Pivots &amp; Analysis'!$F$69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C7AC"/>
            </a:solidFill>
            <a:ln w="25400">
              <a:solidFill>
                <a:srgbClr val="F1A983"/>
              </a:solidFill>
              <a:prstDash val="solid"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Analysis'!$E$70:$E$73</c:f>
              <c:strCache>
                <c:ptCount val="3"/>
                <c:pt idx="0">
                  <c:v>TeamA</c:v>
                </c:pt>
                <c:pt idx="1">
                  <c:v>TeamB</c:v>
                </c:pt>
                <c:pt idx="2">
                  <c:v>TeamC</c:v>
                </c:pt>
              </c:strCache>
            </c:strRef>
          </c:cat>
          <c:val>
            <c:numRef>
              <c:f>'Pivots &amp; Analysis'!$F$70:$F$73</c:f>
              <c:numCache>
                <c:formatCode>General</c:formatCode>
                <c:ptCount val="3"/>
                <c:pt idx="0">
                  <c:v>27</c:v>
                </c:pt>
                <c:pt idx="1">
                  <c:v>28</c:v>
                </c:pt>
                <c:pt idx="2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4C3A-843E-D1A1BA0703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8"/>
        <c:overlap val="100"/>
        <c:axId val="1070095879"/>
        <c:axId val="1305975303"/>
      </c:barChart>
      <c:catAx>
        <c:axId val="1070095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75303"/>
        <c:crosses val="autoZero"/>
        <c:auto val="1"/>
        <c:lblAlgn val="ctr"/>
        <c:lblOffset val="100"/>
        <c:noMultiLvlLbl val="0"/>
      </c:catAx>
      <c:valAx>
        <c:axId val="1305975303"/>
        <c:scaling>
          <c:orientation val="minMax"/>
          <c:min val="25"/>
        </c:scaling>
        <c:delete val="1"/>
        <c:axPos val="l"/>
        <c:numFmt formatCode="General" sourceLinked="1"/>
        <c:majorTickMark val="none"/>
        <c:minorTickMark val="none"/>
        <c:tickLblPos val="nextTo"/>
        <c:crossAx val="1070095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Analysis!PivotTable5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Why Downtime Happened? </a:t>
            </a:r>
            <a:r>
              <a:rPr lang="en-US" sz="1200" b="1" i="0" u="none" strike="noStrike" kern="1200" spc="0" baseline="0">
                <a:solidFill>
                  <a:schemeClr val="accent4"/>
                </a:solidFill>
              </a:rPr>
              <a:t>Reasons &amp; Cost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</a:rPr>
              <a:t>is here..</a:t>
            </a:r>
            <a:endParaRPr lang="en-US"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7.0175438596491224E-2"/>
          <c:y val="2.7871907784298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rgbClr val="83CCEB"/>
          </a:solidFill>
          <a:ln>
            <a:solidFill>
              <a:srgbClr val="44B3E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83CCEB"/>
          </a:solidFill>
          <a:ln>
            <a:solidFill>
              <a:srgbClr val="074F6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83CCEB"/>
          </a:solidFill>
          <a:ln>
            <a:solidFill>
              <a:srgbClr val="074F6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83CCEB"/>
          </a:solidFill>
          <a:ln>
            <a:solidFill>
              <a:srgbClr val="074F6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83CCEB"/>
          </a:solidFill>
          <a:ln>
            <a:solidFill>
              <a:srgbClr val="074F6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83CCEB"/>
          </a:solidFill>
          <a:ln>
            <a:solidFill>
              <a:srgbClr val="074F6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83CCEB"/>
          </a:solidFill>
          <a:ln>
            <a:solidFill>
              <a:srgbClr val="074F6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83CCEB"/>
          </a:solidFill>
          <a:ln>
            <a:solidFill>
              <a:srgbClr val="074F6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rgbClr val="074F6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213094984748535E-2"/>
          <c:y val="0.21349713753949218"/>
          <c:w val="0.81427651273320567"/>
          <c:h val="0.66819879640412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&amp; Analysis'!$G$124</c:f>
              <c:strCache>
                <c:ptCount val="1"/>
                <c:pt idx="0">
                  <c:v>Sum of DowntimeDurationHrs</c:v>
                </c:pt>
              </c:strCache>
            </c:strRef>
          </c:tx>
          <c:spPr>
            <a:solidFill>
              <a:srgbClr val="83CCEB"/>
            </a:solidFill>
            <a:ln>
              <a:solidFill>
                <a:srgbClr val="074F69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Analysis'!$F$125:$F$129</c:f>
              <c:strCache>
                <c:ptCount val="4"/>
                <c:pt idx="0">
                  <c:v>Machine Failure</c:v>
                </c:pt>
                <c:pt idx="1">
                  <c:v>Maintenance</c:v>
                </c:pt>
                <c:pt idx="2">
                  <c:v>Operator Error</c:v>
                </c:pt>
                <c:pt idx="3">
                  <c:v>Supply Shortage</c:v>
                </c:pt>
              </c:strCache>
            </c:strRef>
          </c:cat>
          <c:val>
            <c:numRef>
              <c:f>'Pivots &amp; Analysis'!$G$125:$G$129</c:f>
              <c:numCache>
                <c:formatCode>General</c:formatCode>
                <c:ptCount val="4"/>
                <c:pt idx="0">
                  <c:v>19.5</c:v>
                </c:pt>
                <c:pt idx="1">
                  <c:v>22</c:v>
                </c:pt>
                <c:pt idx="2">
                  <c:v>13.5</c:v>
                </c:pt>
                <c:pt idx="3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B0-466D-9415-B07394CE5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588118024"/>
        <c:axId val="1059235336"/>
      </c:barChart>
      <c:lineChart>
        <c:grouping val="standard"/>
        <c:varyColors val="0"/>
        <c:ser>
          <c:idx val="1"/>
          <c:order val="1"/>
          <c:tx>
            <c:strRef>
              <c:f>'Pivots &amp; Analysis'!$H$124</c:f>
              <c:strCache>
                <c:ptCount val="1"/>
                <c:pt idx="0">
                  <c:v>Sum of Cost of Downtime</c:v>
                </c:pt>
              </c:strCache>
            </c:strRef>
          </c:tx>
          <c:spPr>
            <a:ln w="28575" cap="rnd">
              <a:solidFill>
                <a:srgbClr val="074F69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'Pivots &amp; Analysis'!$F$125:$F$129</c:f>
              <c:strCache>
                <c:ptCount val="4"/>
                <c:pt idx="0">
                  <c:v>Machine Failure</c:v>
                </c:pt>
                <c:pt idx="1">
                  <c:v>Maintenance</c:v>
                </c:pt>
                <c:pt idx="2">
                  <c:v>Operator Error</c:v>
                </c:pt>
                <c:pt idx="3">
                  <c:v>Supply Shortage</c:v>
                </c:pt>
              </c:strCache>
            </c:strRef>
          </c:cat>
          <c:val>
            <c:numRef>
              <c:f>'Pivots &amp; Analysis'!$H$125:$H$129</c:f>
              <c:numCache>
                <c:formatCode>General</c:formatCode>
                <c:ptCount val="4"/>
                <c:pt idx="0">
                  <c:v>29700</c:v>
                </c:pt>
                <c:pt idx="1">
                  <c:v>32100</c:v>
                </c:pt>
                <c:pt idx="2">
                  <c:v>18500</c:v>
                </c:pt>
                <c:pt idx="3">
                  <c:v>41000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0-466D-9415-B07394CE5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754416"/>
        <c:axId val="391753456"/>
      </c:lineChart>
      <c:catAx>
        <c:axId val="588118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35336"/>
        <c:crosses val="autoZero"/>
        <c:auto val="1"/>
        <c:lblAlgn val="ctr"/>
        <c:lblOffset val="100"/>
        <c:noMultiLvlLbl val="0"/>
      </c:catAx>
      <c:valAx>
        <c:axId val="1059235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18024"/>
        <c:crosses val="autoZero"/>
        <c:crossBetween val="between"/>
      </c:valAx>
      <c:valAx>
        <c:axId val="391753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54416"/>
        <c:crosses val="max"/>
        <c:crossBetween val="between"/>
      </c:valAx>
      <c:catAx>
        <c:axId val="39175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753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4408848207475211E-2"/>
          <c:y val="0.14075696463505238"/>
          <c:w val="0.9"/>
          <c:h val="0.11283930531752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[Downtime-performance-analysis.xlsx]Pivots &amp; Analysis!PivotTable6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This</a:t>
            </a:r>
            <a:r>
              <a:rPr lang="en-US" sz="1200" baseline="0"/>
              <a:t> </a:t>
            </a:r>
            <a:r>
              <a:rPr lang="en-US" sz="1200">
                <a:solidFill>
                  <a:schemeClr val="accent3"/>
                </a:solidFill>
              </a:rPr>
              <a:t>Cost Variance </a:t>
            </a:r>
            <a:r>
              <a:rPr lang="en-US" sz="1200"/>
              <a:t>Occured due</a:t>
            </a:r>
            <a:r>
              <a:rPr lang="en-US" sz="1200" baseline="0"/>
              <a:t> to Downtime is..</a:t>
            </a:r>
            <a:endParaRPr lang="en-US" sz="1200"/>
          </a:p>
        </c:rich>
      </c:tx>
      <c:layout>
        <c:manualLayout>
          <c:xMode val="edge"/>
          <c:yMode val="edge"/>
          <c:x val="0.11541769143263872"/>
          <c:y val="1.448077337370338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44B3E1"/>
          </a:solidFill>
          <a:ln>
            <a:solidFill>
              <a:srgbClr val="0C769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F1A983"/>
          </a:solidFill>
          <a:ln>
            <a:solidFill>
              <a:srgbClr val="BE501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solidFill>
              <a:srgbClr val="27531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077913989564871E-2"/>
          <c:y val="0.24170944955547535"/>
          <c:w val="0.89472434589744076"/>
          <c:h val="0.75829055044452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&amp; Analysis'!$N$58</c:f>
              <c:strCache>
                <c:ptCount val="1"/>
                <c:pt idx="0">
                  <c:v>Sum of BudgetedDowntimeCost</c:v>
                </c:pt>
              </c:strCache>
            </c:strRef>
          </c:tx>
          <c:spPr>
            <a:solidFill>
              <a:srgbClr val="44B3E1"/>
            </a:solidFill>
            <a:ln>
              <a:solidFill>
                <a:srgbClr val="0C769E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Analysis'!$M$59:$M$62</c:f>
              <c:strCache>
                <c:ptCount val="3"/>
                <c:pt idx="0">
                  <c:v>TeamA</c:v>
                </c:pt>
                <c:pt idx="1">
                  <c:v>TeamB</c:v>
                </c:pt>
                <c:pt idx="2">
                  <c:v>TeamC</c:v>
                </c:pt>
              </c:strCache>
            </c:strRef>
          </c:cat>
          <c:val>
            <c:numRef>
              <c:f>'Pivots &amp; Analysis'!$N$59:$N$62</c:f>
              <c:numCache>
                <c:formatCode>General</c:formatCode>
                <c:ptCount val="3"/>
                <c:pt idx="0">
                  <c:v>36700</c:v>
                </c:pt>
                <c:pt idx="1">
                  <c:v>37500</c:v>
                </c:pt>
                <c:pt idx="2">
                  <c:v>35700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B-4489-935F-296436616267}"/>
            </c:ext>
          </c:extLst>
        </c:ser>
        <c:ser>
          <c:idx val="1"/>
          <c:order val="1"/>
          <c:tx>
            <c:strRef>
              <c:f>'Pivots &amp; Analysis'!$O$58</c:f>
              <c:strCache>
                <c:ptCount val="1"/>
                <c:pt idx="0">
                  <c:v>Sum of ActualDowntimeCost</c:v>
                </c:pt>
              </c:strCache>
            </c:strRef>
          </c:tx>
          <c:spPr>
            <a:solidFill>
              <a:srgbClr val="F1A983"/>
            </a:solidFill>
            <a:ln>
              <a:solidFill>
                <a:srgbClr val="BE5014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Analysis'!$M$59:$M$62</c:f>
              <c:strCache>
                <c:ptCount val="3"/>
                <c:pt idx="0">
                  <c:v>TeamA</c:v>
                </c:pt>
                <c:pt idx="1">
                  <c:v>TeamB</c:v>
                </c:pt>
                <c:pt idx="2">
                  <c:v>TeamC</c:v>
                </c:pt>
              </c:strCache>
            </c:strRef>
          </c:cat>
          <c:val>
            <c:numRef>
              <c:f>'Pivots &amp; Analysis'!$O$59:$O$62</c:f>
              <c:numCache>
                <c:formatCode>General</c:formatCode>
                <c:ptCount val="3"/>
                <c:pt idx="0">
                  <c:v>39600</c:v>
                </c:pt>
                <c:pt idx="1">
                  <c:v>42200</c:v>
                </c:pt>
                <c:pt idx="2">
                  <c:v>39500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B-4489-935F-296436616267}"/>
            </c:ext>
          </c:extLst>
        </c:ser>
        <c:ser>
          <c:idx val="2"/>
          <c:order val="2"/>
          <c:tx>
            <c:strRef>
              <c:f>'Pivots &amp; Analysis'!$P$58</c:f>
              <c:strCache>
                <c:ptCount val="1"/>
                <c:pt idx="0">
                  <c:v>Sum of Cost Variance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275317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Analysis'!$M$59:$M$62</c:f>
              <c:strCache>
                <c:ptCount val="3"/>
                <c:pt idx="0">
                  <c:v>TeamA</c:v>
                </c:pt>
                <c:pt idx="1">
                  <c:v>TeamB</c:v>
                </c:pt>
                <c:pt idx="2">
                  <c:v>TeamC</c:v>
                </c:pt>
              </c:strCache>
            </c:strRef>
          </c:cat>
          <c:val>
            <c:numRef>
              <c:f>'Pivots &amp; Analysis'!$P$59:$P$62</c:f>
              <c:numCache>
                <c:formatCode>General</c:formatCode>
                <c:ptCount val="3"/>
                <c:pt idx="0">
                  <c:v>2900</c:v>
                </c:pt>
                <c:pt idx="1">
                  <c:v>4700</c:v>
                </c:pt>
                <c:pt idx="2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DB-4489-935F-29643661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360382472"/>
        <c:axId val="1360388104"/>
      </c:barChart>
      <c:catAx>
        <c:axId val="1360382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0388104"/>
        <c:crosses val="autoZero"/>
        <c:auto val="1"/>
        <c:lblAlgn val="ctr"/>
        <c:lblOffset val="100"/>
        <c:noMultiLvlLbl val="0"/>
      </c:catAx>
      <c:valAx>
        <c:axId val="1360388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038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2014197377870138E-3"/>
          <c:y val="9.9852998948182115E-2"/>
          <c:w val="0.9936482939632546"/>
          <c:h val="0.21287284633975209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63.xml"/><Relationship Id="rId21" Type="http://schemas.openxmlformats.org/officeDocument/2006/relationships/customXml" Target="../ink/ink11.xml"/><Relationship Id="rId42" Type="http://schemas.openxmlformats.org/officeDocument/2006/relationships/customXml" Target="../ink/ink23.xml"/><Relationship Id="rId63" Type="http://schemas.openxmlformats.org/officeDocument/2006/relationships/customXml" Target="../ink/ink35.xml"/><Relationship Id="rId84" Type="http://schemas.openxmlformats.org/officeDocument/2006/relationships/customXml" Target="../ink/ink46.xml"/><Relationship Id="rId16" Type="http://schemas.openxmlformats.org/officeDocument/2006/relationships/image" Target="../media/image8.png"/><Relationship Id="rId107" Type="http://schemas.openxmlformats.org/officeDocument/2006/relationships/customXml" Target="../ink/ink58.xml"/><Relationship Id="rId11" Type="http://schemas.openxmlformats.org/officeDocument/2006/relationships/customXml" Target="../ink/ink6.xml"/><Relationship Id="rId32" Type="http://schemas.openxmlformats.org/officeDocument/2006/relationships/customXml" Target="../ink/ink18.xml"/><Relationship Id="rId37" Type="http://schemas.openxmlformats.org/officeDocument/2006/relationships/image" Target="../media/image17.png"/><Relationship Id="rId53" Type="http://schemas.openxmlformats.org/officeDocument/2006/relationships/image" Target="../media/image24.png"/><Relationship Id="rId58" Type="http://schemas.openxmlformats.org/officeDocument/2006/relationships/image" Target="../media/image26.png"/><Relationship Id="rId74" Type="http://schemas.openxmlformats.org/officeDocument/2006/relationships/customXml" Target="../ink/ink41.xml"/><Relationship Id="rId79" Type="http://schemas.openxmlformats.org/officeDocument/2006/relationships/image" Target="../media/image36.png"/><Relationship Id="rId102" Type="http://schemas.openxmlformats.org/officeDocument/2006/relationships/image" Target="../media/image47.png"/><Relationship Id="rId123" Type="http://schemas.openxmlformats.org/officeDocument/2006/relationships/image" Target="../media/image57.png"/><Relationship Id="rId128" Type="http://schemas.openxmlformats.org/officeDocument/2006/relationships/customXml" Target="../ink/ink69.xml"/><Relationship Id="rId5" Type="http://schemas.openxmlformats.org/officeDocument/2006/relationships/customXml" Target="../ink/ink3.xml"/><Relationship Id="rId90" Type="http://schemas.openxmlformats.org/officeDocument/2006/relationships/customXml" Target="../ink/ink49.xml"/><Relationship Id="rId95" Type="http://schemas.openxmlformats.org/officeDocument/2006/relationships/image" Target="../media/image44.png"/><Relationship Id="rId22" Type="http://schemas.openxmlformats.org/officeDocument/2006/relationships/image" Target="../media/image11.png"/><Relationship Id="rId27" Type="http://schemas.openxmlformats.org/officeDocument/2006/relationships/customXml" Target="../ink/ink15.xml"/><Relationship Id="rId43" Type="http://schemas.openxmlformats.org/officeDocument/2006/relationships/image" Target="../media/image20.png"/><Relationship Id="rId48" Type="http://schemas.openxmlformats.org/officeDocument/2006/relationships/image" Target="../media/image22.png"/><Relationship Id="rId64" Type="http://schemas.openxmlformats.org/officeDocument/2006/relationships/image" Target="../media/image29.png"/><Relationship Id="rId69" Type="http://schemas.openxmlformats.org/officeDocument/2006/relationships/customXml" Target="../ink/ink38.xml"/><Relationship Id="rId113" Type="http://schemas.openxmlformats.org/officeDocument/2006/relationships/customXml" Target="../ink/ink61.xml"/><Relationship Id="rId118" Type="http://schemas.openxmlformats.org/officeDocument/2006/relationships/customXml" Target="../ink/ink64.xml"/><Relationship Id="rId134" Type="http://schemas.openxmlformats.org/officeDocument/2006/relationships/customXml" Target="../ink/ink72.xml"/><Relationship Id="rId80" Type="http://schemas.openxmlformats.org/officeDocument/2006/relationships/customXml" Target="../ink/ink44.xml"/><Relationship Id="rId85" Type="http://schemas.openxmlformats.org/officeDocument/2006/relationships/image" Target="../media/image39.png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image" Target="../media/image15.png"/><Relationship Id="rId38" Type="http://schemas.openxmlformats.org/officeDocument/2006/relationships/customXml" Target="../ink/ink21.xml"/><Relationship Id="rId59" Type="http://schemas.openxmlformats.org/officeDocument/2006/relationships/customXml" Target="../ink/ink33.xml"/><Relationship Id="rId103" Type="http://schemas.openxmlformats.org/officeDocument/2006/relationships/customXml" Target="../ink/ink56.xml"/><Relationship Id="rId108" Type="http://schemas.openxmlformats.org/officeDocument/2006/relationships/image" Target="../media/image50.png"/><Relationship Id="rId124" Type="http://schemas.openxmlformats.org/officeDocument/2006/relationships/customXml" Target="../ink/ink67.xml"/><Relationship Id="rId129" Type="http://schemas.openxmlformats.org/officeDocument/2006/relationships/image" Target="../media/image60.png"/><Relationship Id="rId54" Type="http://schemas.openxmlformats.org/officeDocument/2006/relationships/customXml" Target="../ink/ink30.xml"/><Relationship Id="rId70" Type="http://schemas.openxmlformats.org/officeDocument/2006/relationships/image" Target="../media/image32.png"/><Relationship Id="rId75" Type="http://schemas.openxmlformats.org/officeDocument/2006/relationships/image" Target="../media/image34.png"/><Relationship Id="rId91" Type="http://schemas.openxmlformats.org/officeDocument/2006/relationships/image" Target="../media/image42.png"/><Relationship Id="rId96" Type="http://schemas.openxmlformats.org/officeDocument/2006/relationships/customXml" Target="../ink/ink52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23" Type="http://schemas.openxmlformats.org/officeDocument/2006/relationships/customXml" Target="../ink/ink12.xml"/><Relationship Id="rId28" Type="http://schemas.openxmlformats.org/officeDocument/2006/relationships/customXml" Target="../ink/ink16.xml"/><Relationship Id="rId49" Type="http://schemas.openxmlformats.org/officeDocument/2006/relationships/customXml" Target="../ink/ink27.xml"/><Relationship Id="rId114" Type="http://schemas.openxmlformats.org/officeDocument/2006/relationships/image" Target="../media/image53.png"/><Relationship Id="rId119" Type="http://schemas.openxmlformats.org/officeDocument/2006/relationships/image" Target="../media/image55.png"/><Relationship Id="rId44" Type="http://schemas.openxmlformats.org/officeDocument/2006/relationships/customXml" Target="../ink/ink24.xml"/><Relationship Id="rId60" Type="http://schemas.openxmlformats.org/officeDocument/2006/relationships/image" Target="../media/image27.png"/><Relationship Id="rId65" Type="http://schemas.openxmlformats.org/officeDocument/2006/relationships/customXml" Target="../ink/ink36.xml"/><Relationship Id="rId81" Type="http://schemas.openxmlformats.org/officeDocument/2006/relationships/image" Target="../media/image37.png"/><Relationship Id="rId86" Type="http://schemas.openxmlformats.org/officeDocument/2006/relationships/customXml" Target="../ink/ink47.xml"/><Relationship Id="rId130" Type="http://schemas.openxmlformats.org/officeDocument/2006/relationships/customXml" Target="../ink/ink70.xml"/><Relationship Id="rId135" Type="http://schemas.openxmlformats.org/officeDocument/2006/relationships/image" Target="../media/image63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image" Target="../media/image18.png"/><Relationship Id="rId109" Type="http://schemas.openxmlformats.org/officeDocument/2006/relationships/customXml" Target="../ink/ink59.xml"/><Relationship Id="rId34" Type="http://schemas.openxmlformats.org/officeDocument/2006/relationships/customXml" Target="../ink/ink19.xml"/><Relationship Id="rId50" Type="http://schemas.openxmlformats.org/officeDocument/2006/relationships/image" Target="../media/image23.png"/><Relationship Id="rId55" Type="http://schemas.openxmlformats.org/officeDocument/2006/relationships/image" Target="../media/image25.png"/><Relationship Id="rId76" Type="http://schemas.openxmlformats.org/officeDocument/2006/relationships/customXml" Target="../ink/ink42.xml"/><Relationship Id="rId97" Type="http://schemas.openxmlformats.org/officeDocument/2006/relationships/customXml" Target="../ink/ink53.xml"/><Relationship Id="rId104" Type="http://schemas.openxmlformats.org/officeDocument/2006/relationships/image" Target="../media/image48.png"/><Relationship Id="rId120" Type="http://schemas.openxmlformats.org/officeDocument/2006/relationships/customXml" Target="../ink/ink65.xml"/><Relationship Id="rId125" Type="http://schemas.openxmlformats.org/officeDocument/2006/relationships/image" Target="../media/image58.png"/><Relationship Id="rId7" Type="http://schemas.openxmlformats.org/officeDocument/2006/relationships/customXml" Target="../ink/ink4.xml"/><Relationship Id="rId71" Type="http://schemas.openxmlformats.org/officeDocument/2006/relationships/customXml" Target="../ink/ink39.xml"/><Relationship Id="rId92" Type="http://schemas.openxmlformats.org/officeDocument/2006/relationships/customXml" Target="../ink/ink50.xml"/><Relationship Id="rId2" Type="http://schemas.openxmlformats.org/officeDocument/2006/relationships/image" Target="../media/image1.png"/><Relationship Id="rId29" Type="http://schemas.openxmlformats.org/officeDocument/2006/relationships/image" Target="../media/image13.png"/><Relationship Id="rId24" Type="http://schemas.openxmlformats.org/officeDocument/2006/relationships/image" Target="../media/image12.png"/><Relationship Id="rId40" Type="http://schemas.openxmlformats.org/officeDocument/2006/relationships/customXml" Target="../ink/ink22.xml"/><Relationship Id="rId45" Type="http://schemas.openxmlformats.org/officeDocument/2006/relationships/image" Target="../media/image21.png"/><Relationship Id="rId66" Type="http://schemas.openxmlformats.org/officeDocument/2006/relationships/image" Target="../media/image30.png"/><Relationship Id="rId87" Type="http://schemas.openxmlformats.org/officeDocument/2006/relationships/image" Target="../media/image40.png"/><Relationship Id="rId110" Type="http://schemas.openxmlformats.org/officeDocument/2006/relationships/image" Target="../media/image51.png"/><Relationship Id="rId115" Type="http://schemas.openxmlformats.org/officeDocument/2006/relationships/customXml" Target="../ink/ink62.xml"/><Relationship Id="rId131" Type="http://schemas.openxmlformats.org/officeDocument/2006/relationships/image" Target="../media/image61.png"/><Relationship Id="rId136" Type="http://schemas.openxmlformats.org/officeDocument/2006/relationships/customXml" Target="../ink/ink73.xml"/><Relationship Id="rId61" Type="http://schemas.openxmlformats.org/officeDocument/2006/relationships/customXml" Target="../ink/ink34.xml"/><Relationship Id="rId82" Type="http://schemas.openxmlformats.org/officeDocument/2006/relationships/customXml" Target="../ink/ink45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customXml" Target="../ink/ink17.xml"/><Relationship Id="rId35" Type="http://schemas.openxmlformats.org/officeDocument/2006/relationships/image" Target="../media/image16.png"/><Relationship Id="rId56" Type="http://schemas.openxmlformats.org/officeDocument/2006/relationships/customXml" Target="../ink/ink31.xml"/><Relationship Id="rId77" Type="http://schemas.openxmlformats.org/officeDocument/2006/relationships/image" Target="../media/image35.png"/><Relationship Id="rId100" Type="http://schemas.openxmlformats.org/officeDocument/2006/relationships/image" Target="../media/image46.png"/><Relationship Id="rId105" Type="http://schemas.openxmlformats.org/officeDocument/2006/relationships/customXml" Target="../ink/ink57.xml"/><Relationship Id="rId126" Type="http://schemas.openxmlformats.org/officeDocument/2006/relationships/customXml" Target="../ink/ink68.xml"/><Relationship Id="rId8" Type="http://schemas.openxmlformats.org/officeDocument/2006/relationships/image" Target="../media/image4.png"/><Relationship Id="rId51" Type="http://schemas.openxmlformats.org/officeDocument/2006/relationships/customXml" Target="../ink/ink28.xml"/><Relationship Id="rId72" Type="http://schemas.openxmlformats.org/officeDocument/2006/relationships/image" Target="../media/image33.png"/><Relationship Id="rId93" Type="http://schemas.openxmlformats.org/officeDocument/2006/relationships/image" Target="../media/image43.png"/><Relationship Id="rId98" Type="http://schemas.openxmlformats.org/officeDocument/2006/relationships/image" Target="../media/image45.png"/><Relationship Id="rId121" Type="http://schemas.openxmlformats.org/officeDocument/2006/relationships/image" Target="../media/image56.png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customXml" Target="../ink/ink25.xml"/><Relationship Id="rId67" Type="http://schemas.openxmlformats.org/officeDocument/2006/relationships/customXml" Target="../ink/ink37.xml"/><Relationship Id="rId116" Type="http://schemas.openxmlformats.org/officeDocument/2006/relationships/image" Target="../media/image54.png"/><Relationship Id="rId137" Type="http://schemas.openxmlformats.org/officeDocument/2006/relationships/image" Target="../media/image64.png"/><Relationship Id="rId20" Type="http://schemas.openxmlformats.org/officeDocument/2006/relationships/image" Target="../media/image10.png"/><Relationship Id="rId41" Type="http://schemas.openxmlformats.org/officeDocument/2006/relationships/image" Target="../media/image19.png"/><Relationship Id="rId62" Type="http://schemas.openxmlformats.org/officeDocument/2006/relationships/image" Target="../media/image28.png"/><Relationship Id="rId83" Type="http://schemas.openxmlformats.org/officeDocument/2006/relationships/image" Target="../media/image38.png"/><Relationship Id="rId88" Type="http://schemas.openxmlformats.org/officeDocument/2006/relationships/customXml" Target="../ink/ink48.xml"/><Relationship Id="rId111" Type="http://schemas.openxmlformats.org/officeDocument/2006/relationships/customXml" Target="../ink/ink60.xml"/><Relationship Id="rId132" Type="http://schemas.openxmlformats.org/officeDocument/2006/relationships/customXml" Target="../ink/ink71.xml"/><Relationship Id="rId15" Type="http://schemas.openxmlformats.org/officeDocument/2006/relationships/customXml" Target="../ink/ink8.xml"/><Relationship Id="rId36" Type="http://schemas.openxmlformats.org/officeDocument/2006/relationships/customXml" Target="../ink/ink20.xml"/><Relationship Id="rId57" Type="http://schemas.openxmlformats.org/officeDocument/2006/relationships/customXml" Target="../ink/ink32.xml"/><Relationship Id="rId106" Type="http://schemas.openxmlformats.org/officeDocument/2006/relationships/image" Target="../media/image49.png"/><Relationship Id="rId127" Type="http://schemas.openxmlformats.org/officeDocument/2006/relationships/image" Target="../media/image59.png"/><Relationship Id="rId10" Type="http://schemas.openxmlformats.org/officeDocument/2006/relationships/image" Target="../media/image5.png"/><Relationship Id="rId31" Type="http://schemas.openxmlformats.org/officeDocument/2006/relationships/image" Target="../media/image14.png"/><Relationship Id="rId52" Type="http://schemas.openxmlformats.org/officeDocument/2006/relationships/customXml" Target="../ink/ink29.xml"/><Relationship Id="rId73" Type="http://schemas.openxmlformats.org/officeDocument/2006/relationships/customXml" Target="../ink/ink40.xml"/><Relationship Id="rId78" Type="http://schemas.openxmlformats.org/officeDocument/2006/relationships/customXml" Target="../ink/ink43.xml"/><Relationship Id="rId94" Type="http://schemas.openxmlformats.org/officeDocument/2006/relationships/customXml" Target="../ink/ink51.xml"/><Relationship Id="rId99" Type="http://schemas.openxmlformats.org/officeDocument/2006/relationships/customXml" Target="../ink/ink54.xml"/><Relationship Id="rId101" Type="http://schemas.openxmlformats.org/officeDocument/2006/relationships/customXml" Target="../ink/ink55.xml"/><Relationship Id="rId122" Type="http://schemas.openxmlformats.org/officeDocument/2006/relationships/customXml" Target="../ink/ink6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26" Type="http://schemas.openxmlformats.org/officeDocument/2006/relationships/customXml" Target="../ink/ink14.xml"/><Relationship Id="rId47" Type="http://schemas.openxmlformats.org/officeDocument/2006/relationships/customXml" Target="../ink/ink26.xml"/><Relationship Id="rId68" Type="http://schemas.openxmlformats.org/officeDocument/2006/relationships/image" Target="../media/image31.png"/><Relationship Id="rId89" Type="http://schemas.openxmlformats.org/officeDocument/2006/relationships/image" Target="../media/image41.png"/><Relationship Id="rId112" Type="http://schemas.openxmlformats.org/officeDocument/2006/relationships/image" Target="../media/image52.png"/><Relationship Id="rId133" Type="http://schemas.openxmlformats.org/officeDocument/2006/relationships/image" Target="../media/image6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1.xml"/><Relationship Id="rId7" Type="http://schemas.openxmlformats.org/officeDocument/2006/relationships/image" Target="../media/image65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22904</xdr:colOff>
      <xdr:row>1</xdr:row>
      <xdr:rowOff>37651</xdr:rowOff>
    </xdr:from>
    <xdr:to>
      <xdr:col>14</xdr:col>
      <xdr:colOff>353600</xdr:colOff>
      <xdr:row>2</xdr:row>
      <xdr:rowOff>24335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6C81AE1-4F37-A4BC-3B4F-A1CA44160D32}"/>
                </a:ext>
              </a:extLst>
            </xdr14:cNvPr>
            <xdr14:cNvContentPartPr/>
          </xdr14:nvContentPartPr>
          <xdr14:nvPr macro=""/>
          <xdr14:xfrm>
            <a:off x="6180480" y="268560"/>
            <a:ext cx="4587120" cy="148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6C81AE1-4F37-A4BC-3B4F-A1CA44160D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162480" y="250920"/>
              <a:ext cx="462276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45985</xdr:colOff>
      <xdr:row>3</xdr:row>
      <xdr:rowOff>176927</xdr:rowOff>
    </xdr:from>
    <xdr:to>
      <xdr:col>14</xdr:col>
      <xdr:colOff>585800</xdr:colOff>
      <xdr:row>3</xdr:row>
      <xdr:rowOff>177647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4B52EB8-30EE-B5A2-ECFE-DEC2CE7DB7DF}"/>
                </a:ext>
              </a:extLst>
            </xdr14:cNvPr>
            <xdr14:cNvContentPartPr/>
          </xdr14:nvContentPartPr>
          <xdr14:nvPr macro=""/>
          <xdr14:xfrm>
            <a:off x="4987440" y="754200"/>
            <a:ext cx="6012360" cy="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4B52EB8-30EE-B5A2-ECFE-DEC2CE7DB7D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969440" y="718200"/>
              <a:ext cx="6048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7465</xdr:colOff>
      <xdr:row>3</xdr:row>
      <xdr:rowOff>176927</xdr:rowOff>
    </xdr:from>
    <xdr:to>
      <xdr:col>5</xdr:col>
      <xdr:colOff>23305</xdr:colOff>
      <xdr:row>22</xdr:row>
      <xdr:rowOff>146149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57866DD-9BF5-A396-50DD-F91A13698779}"/>
                </a:ext>
              </a:extLst>
            </xdr14:cNvPr>
            <xdr14:cNvContentPartPr/>
          </xdr14:nvContentPartPr>
          <xdr14:nvPr macro=""/>
          <xdr14:xfrm>
            <a:off x="4948920" y="754200"/>
            <a:ext cx="15840" cy="34790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57866DD-9BF5-A396-50DD-F91A1369877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930920" y="736200"/>
              <a:ext cx="51480" cy="351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527840</xdr:colOff>
      <xdr:row>22</xdr:row>
      <xdr:rowOff>39229</xdr:rowOff>
    </xdr:from>
    <xdr:to>
      <xdr:col>14</xdr:col>
      <xdr:colOff>555200</xdr:colOff>
      <xdr:row>22</xdr:row>
      <xdr:rowOff>124549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CE094DE-A3B4-B71D-3A1D-384B128E329C}"/>
                </a:ext>
              </a:extLst>
            </xdr14:cNvPr>
            <xdr14:cNvContentPartPr/>
          </xdr14:nvContentPartPr>
          <xdr14:nvPr macro=""/>
          <xdr14:xfrm>
            <a:off x="10941840" y="4126320"/>
            <a:ext cx="27360" cy="853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CE094DE-A3B4-B71D-3A1D-384B128E329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923840" y="4108320"/>
              <a:ext cx="630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584720</xdr:colOff>
      <xdr:row>3</xdr:row>
      <xdr:rowOff>169007</xdr:rowOff>
    </xdr:from>
    <xdr:to>
      <xdr:col>14</xdr:col>
      <xdr:colOff>585440</xdr:colOff>
      <xdr:row>22</xdr:row>
      <xdr:rowOff>108349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2AE064F-D5BE-B875-8CED-6960183F7E40}"/>
                </a:ext>
              </a:extLst>
            </xdr14:cNvPr>
            <xdr14:cNvContentPartPr/>
          </xdr14:nvContentPartPr>
          <xdr14:nvPr macro=""/>
          <xdr14:xfrm>
            <a:off x="10998720" y="746280"/>
            <a:ext cx="720" cy="34491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2AE064F-D5BE-B875-8CED-6960183F7E4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962720" y="728640"/>
              <a:ext cx="72000" cy="348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15025</xdr:colOff>
      <xdr:row>22</xdr:row>
      <xdr:rowOff>123109</xdr:rowOff>
    </xdr:from>
    <xdr:to>
      <xdr:col>14</xdr:col>
      <xdr:colOff>407960</xdr:colOff>
      <xdr:row>22</xdr:row>
      <xdr:rowOff>161629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37CE813-9D14-ADE5-A2EA-1CF650B47EC7}"/>
                </a:ext>
              </a:extLst>
            </xdr14:cNvPr>
            <xdr14:cNvContentPartPr/>
          </xdr14:nvContentPartPr>
          <xdr14:nvPr macro=""/>
          <xdr14:xfrm>
            <a:off x="4956480" y="4210200"/>
            <a:ext cx="5865480" cy="385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37CE813-9D14-ADE5-A2EA-1CF650B47EC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938840" y="4192200"/>
              <a:ext cx="590112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269360</xdr:colOff>
      <xdr:row>22</xdr:row>
      <xdr:rowOff>130669</xdr:rowOff>
    </xdr:from>
    <xdr:to>
      <xdr:col>14</xdr:col>
      <xdr:colOff>569600</xdr:colOff>
      <xdr:row>22</xdr:row>
      <xdr:rowOff>154429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64ABDE8-18F6-9752-1236-CBEE2C71C342}"/>
                </a:ext>
              </a:extLst>
            </xdr14:cNvPr>
            <xdr14:cNvContentPartPr/>
          </xdr14:nvContentPartPr>
          <xdr14:nvPr macro=""/>
          <xdr14:xfrm>
            <a:off x="10683360" y="4217760"/>
            <a:ext cx="300240" cy="237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64ABDE8-18F6-9752-1236-CBEE2C71C34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665360" y="4199760"/>
              <a:ext cx="335880" cy="5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22945</xdr:colOff>
      <xdr:row>5</xdr:row>
      <xdr:rowOff>176473</xdr:rowOff>
    </xdr:from>
    <xdr:to>
      <xdr:col>15</xdr:col>
      <xdr:colOff>59</xdr:colOff>
      <xdr:row>5</xdr:row>
      <xdr:rowOff>177193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BDA592D-CC17-3D34-89A2-3C2C5C61FBCD}"/>
                </a:ext>
              </a:extLst>
            </xdr14:cNvPr>
            <xdr14:cNvContentPartPr/>
          </xdr14:nvContentPartPr>
          <xdr14:nvPr macro=""/>
          <xdr14:xfrm>
            <a:off x="4964400" y="1123200"/>
            <a:ext cx="6057720" cy="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FBDA592D-CC17-3D34-89A2-3C2C5C61FBC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946400" y="1087200"/>
              <a:ext cx="609336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607925</xdr:colOff>
      <xdr:row>4</xdr:row>
      <xdr:rowOff>7320</xdr:rowOff>
    </xdr:from>
    <xdr:to>
      <xdr:col>7</xdr:col>
      <xdr:colOff>584</xdr:colOff>
      <xdr:row>6</xdr:row>
      <xdr:rowOff>15865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F208235-AE42-2B80-A8A0-A835FDF7AEFB}"/>
                </a:ext>
              </a:extLst>
            </xdr14:cNvPr>
            <xdr14:cNvContentPartPr/>
          </xdr14:nvContentPartPr>
          <xdr14:nvPr macro=""/>
          <xdr14:xfrm>
            <a:off x="6157440" y="769320"/>
            <a:ext cx="720" cy="3780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F208235-AE42-2B80-A8A0-A835FDF7AEF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121440" y="751680"/>
              <a:ext cx="72000" cy="41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592805</xdr:colOff>
      <xdr:row>7</xdr:row>
      <xdr:rowOff>30578</xdr:rowOff>
    </xdr:from>
    <xdr:to>
      <xdr:col>6</xdr:col>
      <xdr:colOff>593165</xdr:colOff>
      <xdr:row>7</xdr:row>
      <xdr:rowOff>30938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B8360D57-35C3-98C0-2919-1E321756B8BC}"/>
                </a:ext>
              </a:extLst>
            </xdr14:cNvPr>
            <xdr14:cNvContentPartPr/>
          </xdr14:nvContentPartPr>
          <xdr14:nvPr macro=""/>
          <xdr14:xfrm>
            <a:off x="6142320" y="1346760"/>
            <a:ext cx="360" cy="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B8360D57-35C3-98C0-2919-1E321756B8B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124320" y="13291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153985</xdr:colOff>
      <xdr:row>4</xdr:row>
      <xdr:rowOff>107760</xdr:rowOff>
    </xdr:from>
    <xdr:to>
      <xdr:col>5</xdr:col>
      <xdr:colOff>299425</xdr:colOff>
      <xdr:row>5</xdr:row>
      <xdr:rowOff>94393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1A1709ED-3BF2-1341-8F20-8004E5EA949A}"/>
                </a:ext>
              </a:extLst>
            </xdr14:cNvPr>
            <xdr14:cNvContentPartPr/>
          </xdr14:nvContentPartPr>
          <xdr14:nvPr macro=""/>
          <xdr14:xfrm>
            <a:off x="5095440" y="869760"/>
            <a:ext cx="145440" cy="171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1A1709ED-3BF2-1341-8F20-8004E5EA949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077440" y="851760"/>
              <a:ext cx="18108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318505</xdr:colOff>
      <xdr:row>4</xdr:row>
      <xdr:rowOff>132600</xdr:rowOff>
    </xdr:from>
    <xdr:to>
      <xdr:col>5</xdr:col>
      <xdr:colOff>515425</xdr:colOff>
      <xdr:row>5</xdr:row>
      <xdr:rowOff>142273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9DFF50FF-2743-5ECB-B4ED-0D8D360434DE}"/>
                </a:ext>
              </a:extLst>
            </xdr14:cNvPr>
            <xdr14:cNvContentPartPr/>
          </xdr14:nvContentPartPr>
          <xdr14:nvPr macro=""/>
          <xdr14:xfrm>
            <a:off x="5259960" y="894600"/>
            <a:ext cx="196920" cy="1944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9DFF50FF-2743-5ECB-B4ED-0D8D360434DE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241960" y="876960"/>
              <a:ext cx="23256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123005</xdr:colOff>
      <xdr:row>4</xdr:row>
      <xdr:rowOff>161400</xdr:rowOff>
    </xdr:from>
    <xdr:to>
      <xdr:col>6</xdr:col>
      <xdr:colOff>123365</xdr:colOff>
      <xdr:row>4</xdr:row>
      <xdr:rowOff>161760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E68DA89-7136-28DC-7736-24FC6B91CAAB}"/>
                </a:ext>
              </a:extLst>
            </xdr14:cNvPr>
            <xdr14:cNvContentPartPr/>
          </xdr14:nvContentPartPr>
          <xdr14:nvPr macro=""/>
          <xdr14:xfrm>
            <a:off x="5672520" y="923400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E68DA89-7136-28DC-7736-24FC6B91CAA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654520" y="9057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438365</xdr:colOff>
      <xdr:row>8</xdr:row>
      <xdr:rowOff>115491</xdr:rowOff>
    </xdr:from>
    <xdr:to>
      <xdr:col>6</xdr:col>
      <xdr:colOff>438725</xdr:colOff>
      <xdr:row>8</xdr:row>
      <xdr:rowOff>115851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44533F1-E188-09FC-D840-398A5151AC68}"/>
                </a:ext>
              </a:extLst>
            </xdr14:cNvPr>
            <xdr14:cNvContentPartPr/>
          </xdr14:nvContentPartPr>
          <xdr14:nvPr macro=""/>
          <xdr14:xfrm>
            <a:off x="5987880" y="1616400"/>
            <a:ext cx="360" cy="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44533F1-E188-09FC-D840-398A5151AC68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970240" y="15984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99924</xdr:colOff>
      <xdr:row>4</xdr:row>
      <xdr:rowOff>122880</xdr:rowOff>
    </xdr:from>
    <xdr:to>
      <xdr:col>8</xdr:col>
      <xdr:colOff>100284</xdr:colOff>
      <xdr:row>4</xdr:row>
      <xdr:rowOff>123240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C52BEC6D-9AA8-1D58-BDB0-304B7C321B39}"/>
                </a:ext>
              </a:extLst>
            </xdr14:cNvPr>
            <xdr14:cNvContentPartPr/>
          </xdr14:nvContentPartPr>
          <xdr14:nvPr macro=""/>
          <xdr14:xfrm>
            <a:off x="6865560" y="884880"/>
            <a:ext cx="360" cy="3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C52BEC6D-9AA8-1D58-BDB0-304B7C321B3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847560" y="867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31565</xdr:colOff>
      <xdr:row>4</xdr:row>
      <xdr:rowOff>122160</xdr:rowOff>
    </xdr:from>
    <xdr:to>
      <xdr:col>6</xdr:col>
      <xdr:colOff>191765</xdr:colOff>
      <xdr:row>5</xdr:row>
      <xdr:rowOff>152353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2B33659-1111-8FDB-2BD1-8DE782CD13CB}"/>
                </a:ext>
              </a:extLst>
            </xdr14:cNvPr>
            <xdr14:cNvContentPartPr/>
          </xdr14:nvContentPartPr>
          <xdr14:nvPr macro=""/>
          <xdr14:xfrm>
            <a:off x="5581080" y="884160"/>
            <a:ext cx="160200" cy="2149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E2B33659-1111-8FDB-2BD1-8DE782CD13C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563080" y="866160"/>
              <a:ext cx="19584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275285</xdr:colOff>
      <xdr:row>4</xdr:row>
      <xdr:rowOff>122880</xdr:rowOff>
    </xdr:from>
    <xdr:to>
      <xdr:col>6</xdr:col>
      <xdr:colOff>575165</xdr:colOff>
      <xdr:row>6</xdr:row>
      <xdr:rowOff>16585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02581A2-994B-8806-E3F2-A86D11736A1A}"/>
                </a:ext>
              </a:extLst>
            </xdr14:cNvPr>
            <xdr14:cNvContentPartPr/>
          </xdr14:nvContentPartPr>
          <xdr14:nvPr macro=""/>
          <xdr14:xfrm>
            <a:off x="5824800" y="884880"/>
            <a:ext cx="299880" cy="2631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02581A2-994B-8806-E3F2-A86D11736A1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806800" y="867240"/>
              <a:ext cx="335520" cy="29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307623</xdr:colOff>
      <xdr:row>4</xdr:row>
      <xdr:rowOff>129360</xdr:rowOff>
    </xdr:from>
    <xdr:to>
      <xdr:col>10</xdr:col>
      <xdr:colOff>35442</xdr:colOff>
      <xdr:row>6</xdr:row>
      <xdr:rowOff>19105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EA6F4A6C-FBD8-728A-D46D-B4FF244C8EA6}"/>
                </a:ext>
              </a:extLst>
            </xdr14:cNvPr>
            <xdr14:cNvContentPartPr/>
          </xdr14:nvContentPartPr>
          <xdr14:nvPr macro=""/>
          <xdr14:xfrm>
            <a:off x="7681320" y="891360"/>
            <a:ext cx="335880" cy="2592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A6F4A6C-FBD8-728A-D46D-B4FF244C8EA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663680" y="873360"/>
              <a:ext cx="371520" cy="29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7722</xdr:colOff>
      <xdr:row>4</xdr:row>
      <xdr:rowOff>99840</xdr:rowOff>
    </xdr:from>
    <xdr:to>
      <xdr:col>10</xdr:col>
      <xdr:colOff>184482</xdr:colOff>
      <xdr:row>5</xdr:row>
      <xdr:rowOff>145873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1E678350-7464-7816-C479-882FF0EEAC00}"/>
                </a:ext>
              </a:extLst>
            </xdr14:cNvPr>
            <xdr14:cNvContentPartPr/>
          </xdr14:nvContentPartPr>
          <xdr14:nvPr macro=""/>
          <xdr14:xfrm>
            <a:off x="7989480" y="861840"/>
            <a:ext cx="176760" cy="2307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1E678350-7464-7816-C479-882FF0EEAC0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971480" y="843840"/>
              <a:ext cx="21240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30505</xdr:colOff>
      <xdr:row>9</xdr:row>
      <xdr:rowOff>15004</xdr:rowOff>
    </xdr:from>
    <xdr:to>
      <xdr:col>15</xdr:col>
      <xdr:colOff>74939</xdr:colOff>
      <xdr:row>9</xdr:row>
      <xdr:rowOff>15724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DBFBCDE1-9849-F026-E1CB-5CA1166C95F1}"/>
                </a:ext>
              </a:extLst>
            </xdr14:cNvPr>
            <xdr14:cNvContentPartPr/>
          </xdr14:nvContentPartPr>
          <xdr14:nvPr macro=""/>
          <xdr14:xfrm>
            <a:off x="4971960" y="1700640"/>
            <a:ext cx="6125040" cy="7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DBFBCDE1-9849-F026-E1CB-5CA1166C95F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953960" y="1665360"/>
              <a:ext cx="61606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469325</xdr:colOff>
      <xdr:row>9</xdr:row>
      <xdr:rowOff>169084</xdr:rowOff>
    </xdr:from>
    <xdr:to>
      <xdr:col>6</xdr:col>
      <xdr:colOff>469685</xdr:colOff>
      <xdr:row>9</xdr:row>
      <xdr:rowOff>169444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36A70DC-1454-D684-691C-BBCE85B00F84}"/>
                </a:ext>
              </a:extLst>
            </xdr14:cNvPr>
            <xdr14:cNvContentPartPr/>
          </xdr14:nvContentPartPr>
          <xdr14:nvPr macro=""/>
          <xdr14:xfrm>
            <a:off x="6018840" y="1854720"/>
            <a:ext cx="360" cy="3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36A70DC-1454-D684-691C-BBCE85B00F8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001200" y="1837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99985</xdr:colOff>
      <xdr:row>9</xdr:row>
      <xdr:rowOff>161524</xdr:rowOff>
    </xdr:from>
    <xdr:to>
      <xdr:col>5</xdr:col>
      <xdr:colOff>100705</xdr:colOff>
      <xdr:row>14</xdr:row>
      <xdr:rowOff>170287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9AF4D9DD-F8AC-B42A-3FA1-8AA1363B677E}"/>
                </a:ext>
              </a:extLst>
            </xdr14:cNvPr>
            <xdr14:cNvContentPartPr/>
          </xdr14:nvContentPartPr>
          <xdr14:nvPr macro=""/>
          <xdr14:xfrm>
            <a:off x="5041440" y="1847160"/>
            <a:ext cx="720" cy="9324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9AF4D9DD-F8AC-B42A-3FA1-8AA1363B677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005440" y="1829160"/>
              <a:ext cx="72000" cy="96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498865</xdr:colOff>
      <xdr:row>11</xdr:row>
      <xdr:rowOff>114629</xdr:rowOff>
    </xdr:from>
    <xdr:to>
      <xdr:col>7</xdr:col>
      <xdr:colOff>337904</xdr:colOff>
      <xdr:row>13</xdr:row>
      <xdr:rowOff>156295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36E1572-1BEB-7C58-F04E-EB8CB87491EC}"/>
                </a:ext>
              </a:extLst>
            </xdr14:cNvPr>
            <xdr14:cNvContentPartPr/>
          </xdr14:nvContentPartPr>
          <xdr14:nvPr macro=""/>
          <xdr14:xfrm>
            <a:off x="5440320" y="2169720"/>
            <a:ext cx="1055160" cy="4111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936E1572-1BEB-7C58-F04E-EB8CB87491E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422680" y="2151736"/>
              <a:ext cx="1090800" cy="4467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576965</xdr:colOff>
      <xdr:row>12</xdr:row>
      <xdr:rowOff>76062</xdr:rowOff>
    </xdr:from>
    <xdr:to>
      <xdr:col>7</xdr:col>
      <xdr:colOff>106784</xdr:colOff>
      <xdr:row>12</xdr:row>
      <xdr:rowOff>92262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BA741FA-34EB-5ECD-0E2B-E7F25B55B335}"/>
                </a:ext>
              </a:extLst>
            </xdr14:cNvPr>
            <xdr14:cNvContentPartPr/>
          </xdr14:nvContentPartPr>
          <xdr14:nvPr macro=""/>
          <xdr14:xfrm>
            <a:off x="6126480" y="2315880"/>
            <a:ext cx="137880" cy="162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BA741FA-34EB-5ECD-0E2B-E7F25B55B33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108840" y="2298240"/>
              <a:ext cx="17352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69025</xdr:colOff>
      <xdr:row>16</xdr:row>
      <xdr:rowOff>15393</xdr:rowOff>
    </xdr:from>
    <xdr:to>
      <xdr:col>5</xdr:col>
      <xdr:colOff>69385</xdr:colOff>
      <xdr:row>16</xdr:row>
      <xdr:rowOff>15753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2A994BB5-8DD4-D4D2-6AB6-3DF4BA888607}"/>
                </a:ext>
              </a:extLst>
            </xdr14:cNvPr>
            <xdr14:cNvContentPartPr/>
          </xdr14:nvContentPartPr>
          <xdr14:nvPr macro=""/>
          <xdr14:xfrm>
            <a:off x="5010480" y="2994120"/>
            <a:ext cx="360" cy="3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2A994BB5-8DD4-D4D2-6AB6-3DF4BA88860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992840" y="29764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61465</xdr:colOff>
      <xdr:row>16</xdr:row>
      <xdr:rowOff>6753</xdr:rowOff>
    </xdr:from>
    <xdr:to>
      <xdr:col>6</xdr:col>
      <xdr:colOff>485525</xdr:colOff>
      <xdr:row>21</xdr:row>
      <xdr:rowOff>129996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4EC1E954-77DA-6D57-F10C-E0E8330FF1B5}"/>
                </a:ext>
              </a:extLst>
            </xdr14:cNvPr>
            <xdr14:cNvContentPartPr/>
          </xdr14:nvContentPartPr>
          <xdr14:nvPr macro=""/>
          <xdr14:xfrm>
            <a:off x="5002920" y="2985480"/>
            <a:ext cx="1032120" cy="10468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4EC1E954-77DA-6D57-F10C-E0E8330FF1B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984920" y="2967840"/>
              <a:ext cx="1067760" cy="10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99985</xdr:colOff>
      <xdr:row>16</xdr:row>
      <xdr:rowOff>22953</xdr:rowOff>
    </xdr:from>
    <xdr:to>
      <xdr:col>6</xdr:col>
      <xdr:colOff>517565</xdr:colOff>
      <xdr:row>22</xdr:row>
      <xdr:rowOff>5389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B9BBE648-EB42-D4DA-FF9B-D72594252E9B}"/>
                </a:ext>
              </a:extLst>
            </xdr14:cNvPr>
            <xdr14:cNvContentPartPr/>
          </xdr14:nvContentPartPr>
          <xdr14:nvPr macro=""/>
          <xdr14:xfrm>
            <a:off x="5041440" y="3001680"/>
            <a:ext cx="1025640" cy="10908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B9BBE648-EB42-D4DA-FF9B-D72594252E9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023800" y="2984040"/>
              <a:ext cx="1061280" cy="11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246423</xdr:colOff>
      <xdr:row>15</xdr:row>
      <xdr:rowOff>169160</xdr:rowOff>
    </xdr:from>
    <xdr:to>
      <xdr:col>9</xdr:col>
      <xdr:colOff>246783</xdr:colOff>
      <xdr:row>15</xdr:row>
      <xdr:rowOff>169520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EF88A1BF-03CD-CDA9-A4ED-092CCB01101F}"/>
                </a:ext>
              </a:extLst>
            </xdr14:cNvPr>
            <xdr14:cNvContentPartPr/>
          </xdr14:nvContentPartPr>
          <xdr14:nvPr macro=""/>
          <xdr14:xfrm>
            <a:off x="7620120" y="2963160"/>
            <a:ext cx="360" cy="3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EF88A1BF-03CD-CDA9-A4ED-092CCB01101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602120" y="29451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430887</xdr:colOff>
      <xdr:row>17</xdr:row>
      <xdr:rowOff>84465</xdr:rowOff>
    </xdr:from>
    <xdr:to>
      <xdr:col>2</xdr:col>
      <xdr:colOff>431247</xdr:colOff>
      <xdr:row>17</xdr:row>
      <xdr:rowOff>84825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CFA9892C-CF93-6FA3-A496-74B757247C8A}"/>
                </a:ext>
              </a:extLst>
            </xdr14:cNvPr>
            <xdr14:cNvContentPartPr/>
          </xdr14:nvContentPartPr>
          <xdr14:nvPr macro=""/>
          <xdr14:xfrm>
            <a:off x="3548160" y="3247920"/>
            <a:ext cx="360" cy="3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CFA9892C-CF93-6FA3-A496-74B757247C8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530160" y="32299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142887</xdr:colOff>
      <xdr:row>21</xdr:row>
      <xdr:rowOff>184356</xdr:rowOff>
    </xdr:from>
    <xdr:to>
      <xdr:col>2</xdr:col>
      <xdr:colOff>146127</xdr:colOff>
      <xdr:row>22</xdr:row>
      <xdr:rowOff>3741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40281DA0-0433-0D81-9EAC-DB219D054F31}"/>
                </a:ext>
              </a:extLst>
            </xdr14:cNvPr>
            <xdr14:cNvContentPartPr/>
          </xdr14:nvContentPartPr>
          <xdr14:nvPr macro=""/>
          <xdr14:xfrm>
            <a:off x="3260160" y="4086720"/>
            <a:ext cx="3240" cy="3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40281DA0-0433-0D81-9EAC-DB219D054F3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242520" y="4069080"/>
              <a:ext cx="388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76842</xdr:colOff>
      <xdr:row>14</xdr:row>
      <xdr:rowOff>46087</xdr:rowOff>
    </xdr:from>
    <xdr:to>
      <xdr:col>10</xdr:col>
      <xdr:colOff>77202</xdr:colOff>
      <xdr:row>14</xdr:row>
      <xdr:rowOff>46447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26A0D74C-87B2-6939-C06E-F98025843C23}"/>
                </a:ext>
              </a:extLst>
            </xdr14:cNvPr>
            <xdr14:cNvContentPartPr/>
          </xdr14:nvContentPartPr>
          <xdr14:nvPr macro=""/>
          <xdr14:xfrm>
            <a:off x="8058600" y="2655360"/>
            <a:ext cx="360" cy="3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26A0D74C-87B2-6939-C06E-F98025843C2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040600" y="26373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438663</xdr:colOff>
      <xdr:row>10</xdr:row>
      <xdr:rowOff>106756</xdr:rowOff>
    </xdr:from>
    <xdr:to>
      <xdr:col>13</xdr:col>
      <xdr:colOff>404021</xdr:colOff>
      <xdr:row>14</xdr:row>
      <xdr:rowOff>42487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AD23FEF9-6265-7A22-736B-731573FB1978}"/>
                </a:ext>
              </a:extLst>
            </xdr14:cNvPr>
            <xdr14:cNvContentPartPr/>
          </xdr14:nvContentPartPr>
          <xdr14:nvPr macro=""/>
          <xdr14:xfrm>
            <a:off x="7812360" y="1977120"/>
            <a:ext cx="2397600" cy="67464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AD23FEF9-6265-7A22-736B-731573FB197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7794720" y="1959480"/>
              <a:ext cx="2433240" cy="71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38261</xdr:colOff>
      <xdr:row>11</xdr:row>
      <xdr:rowOff>129029</xdr:rowOff>
    </xdr:from>
    <xdr:to>
      <xdr:col>14</xdr:col>
      <xdr:colOff>36440</xdr:colOff>
      <xdr:row>14</xdr:row>
      <xdr:rowOff>61927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73098AF9-2C82-1617-208D-456EFF1D3BD9}"/>
                </a:ext>
              </a:extLst>
            </xdr14:cNvPr>
            <xdr14:cNvContentPartPr/>
          </xdr14:nvContentPartPr>
          <xdr14:nvPr macro=""/>
          <xdr14:xfrm>
            <a:off x="9844200" y="2184120"/>
            <a:ext cx="606240" cy="48708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73098AF9-2C82-1617-208D-456EFF1D3BD9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9826560" y="2166480"/>
              <a:ext cx="641880" cy="52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454061</xdr:colOff>
      <xdr:row>11</xdr:row>
      <xdr:rowOff>115349</xdr:rowOff>
    </xdr:from>
    <xdr:to>
      <xdr:col>14</xdr:col>
      <xdr:colOff>23480</xdr:colOff>
      <xdr:row>11</xdr:row>
      <xdr:rowOff>115709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A3852820-BBF1-D986-A797-73EA05E7C7C2}"/>
                </a:ext>
              </a:extLst>
            </xdr14:cNvPr>
            <xdr14:cNvContentPartPr/>
          </xdr14:nvContentPartPr>
          <xdr14:nvPr macro=""/>
          <xdr14:xfrm>
            <a:off x="10260000" y="2170440"/>
            <a:ext cx="177480" cy="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A3852820-BBF1-D986-A797-73EA05E7C7C2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0242000" y="2152800"/>
              <a:ext cx="2131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14840</xdr:colOff>
      <xdr:row>11</xdr:row>
      <xdr:rowOff>169349</xdr:rowOff>
    </xdr:from>
    <xdr:to>
      <xdr:col>14</xdr:col>
      <xdr:colOff>23480</xdr:colOff>
      <xdr:row>12</xdr:row>
      <xdr:rowOff>137982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8C006012-923D-AFC1-C419-7AB8B8AC862F}"/>
                </a:ext>
              </a:extLst>
            </xdr14:cNvPr>
            <xdr14:cNvContentPartPr/>
          </xdr14:nvContentPartPr>
          <xdr14:nvPr macro=""/>
          <xdr14:xfrm>
            <a:off x="10428840" y="2224440"/>
            <a:ext cx="8640" cy="1533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8C006012-923D-AFC1-C419-7AB8B8AC862F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0410840" y="2206440"/>
              <a:ext cx="4428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76781</xdr:colOff>
      <xdr:row>15</xdr:row>
      <xdr:rowOff>153680</xdr:rowOff>
    </xdr:from>
    <xdr:to>
      <xdr:col>14</xdr:col>
      <xdr:colOff>531080</xdr:colOff>
      <xdr:row>15</xdr:row>
      <xdr:rowOff>154040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A8D6CF0A-99C0-055E-4222-7E091B51EECF}"/>
                </a:ext>
              </a:extLst>
            </xdr14:cNvPr>
            <xdr14:cNvContentPartPr/>
          </xdr14:nvContentPartPr>
          <xdr14:nvPr macro=""/>
          <xdr14:xfrm>
            <a:off x="9882720" y="2947680"/>
            <a:ext cx="1062360" cy="3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A8D6CF0A-99C0-055E-4222-7E091B51EECF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9865080" y="2930040"/>
              <a:ext cx="1098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507680</xdr:colOff>
      <xdr:row>15</xdr:row>
      <xdr:rowOff>169160</xdr:rowOff>
    </xdr:from>
    <xdr:to>
      <xdr:col>14</xdr:col>
      <xdr:colOff>508400</xdr:colOff>
      <xdr:row>21</xdr:row>
      <xdr:rowOff>169956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22D7A6D8-A60C-DDD1-7AC3-9ACAAAA53997}"/>
                </a:ext>
              </a:extLst>
            </xdr14:cNvPr>
            <xdr14:cNvContentPartPr/>
          </xdr14:nvContentPartPr>
          <xdr14:nvPr macro=""/>
          <xdr14:xfrm>
            <a:off x="10921680" y="2963160"/>
            <a:ext cx="720" cy="110916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22D7A6D8-A60C-DDD1-7AC3-9ACAAAA53997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0885680" y="2945160"/>
              <a:ext cx="72000" cy="11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359720</xdr:colOff>
      <xdr:row>18</xdr:row>
      <xdr:rowOff>112858</xdr:rowOff>
    </xdr:from>
    <xdr:to>
      <xdr:col>14</xdr:col>
      <xdr:colOff>476000</xdr:colOff>
      <xdr:row>20</xdr:row>
      <xdr:rowOff>84684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3C9067AF-1EF0-1925-154E-6591FB67E680}"/>
                </a:ext>
              </a:extLst>
            </xdr14:cNvPr>
            <xdr14:cNvContentPartPr/>
          </xdr14:nvContentPartPr>
          <xdr14:nvPr macro=""/>
          <xdr14:xfrm>
            <a:off x="10773720" y="3461040"/>
            <a:ext cx="116280" cy="34128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3C9067AF-1EF0-1925-154E-6591FB67E680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0755720" y="3443400"/>
              <a:ext cx="151920" cy="37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338264</xdr:colOff>
      <xdr:row>9</xdr:row>
      <xdr:rowOff>161524</xdr:rowOff>
    </xdr:from>
    <xdr:to>
      <xdr:col>7</xdr:col>
      <xdr:colOff>338984</xdr:colOff>
      <xdr:row>15</xdr:row>
      <xdr:rowOff>16520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B72C0671-0196-BF9F-B5BF-E59787995A6F}"/>
                </a:ext>
              </a:extLst>
            </xdr14:cNvPr>
            <xdr14:cNvContentPartPr/>
          </xdr14:nvContentPartPr>
          <xdr14:nvPr macro=""/>
          <xdr14:xfrm>
            <a:off x="6495840" y="1847160"/>
            <a:ext cx="720" cy="96336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B72C0671-0196-BF9F-B5BF-E59787995A6F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6459840" y="1829160"/>
              <a:ext cx="72000" cy="99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523387</xdr:colOff>
      <xdr:row>5</xdr:row>
      <xdr:rowOff>123193</xdr:rowOff>
    </xdr:from>
    <xdr:to>
      <xdr:col>3</xdr:col>
      <xdr:colOff>523747</xdr:colOff>
      <xdr:row>5</xdr:row>
      <xdr:rowOff>123553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019E3C10-9497-462F-78E4-5073F9F7FF85}"/>
                </a:ext>
              </a:extLst>
            </xdr14:cNvPr>
            <xdr14:cNvContentPartPr/>
          </xdr14:nvContentPartPr>
          <xdr14:nvPr macro=""/>
          <xdr14:xfrm>
            <a:off x="4248720" y="1069920"/>
            <a:ext cx="360" cy="3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019E3C10-9497-462F-78E4-5073F9F7FF8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231080" y="10519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123025</xdr:colOff>
      <xdr:row>9</xdr:row>
      <xdr:rowOff>176644</xdr:rowOff>
    </xdr:from>
    <xdr:to>
      <xdr:col>7</xdr:col>
      <xdr:colOff>192464</xdr:colOff>
      <xdr:row>10</xdr:row>
      <xdr:rowOff>196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D8B666D2-5920-BDD9-4C57-6B450B6BBC43}"/>
                </a:ext>
              </a:extLst>
            </xdr14:cNvPr>
            <xdr14:cNvContentPartPr/>
          </xdr14:nvContentPartPr>
          <xdr14:nvPr macro=""/>
          <xdr14:xfrm>
            <a:off x="5064480" y="1862280"/>
            <a:ext cx="1285560" cy="828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D8B666D2-5920-BDD9-4C57-6B450B6BBC4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046480" y="1844640"/>
              <a:ext cx="13212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131264</xdr:colOff>
      <xdr:row>9</xdr:row>
      <xdr:rowOff>169084</xdr:rowOff>
    </xdr:from>
    <xdr:to>
      <xdr:col>7</xdr:col>
      <xdr:colOff>331064</xdr:colOff>
      <xdr:row>9</xdr:row>
      <xdr:rowOff>169444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9CC9020F-3E0B-5A6A-7015-D7207C117D27}"/>
                </a:ext>
              </a:extLst>
            </xdr14:cNvPr>
            <xdr14:cNvContentPartPr/>
          </xdr14:nvContentPartPr>
          <xdr14:nvPr macro=""/>
          <xdr14:xfrm>
            <a:off x="6288840" y="1854720"/>
            <a:ext cx="199800" cy="3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9CC9020F-3E0B-5A6A-7015-D7207C117D2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271200" y="1837080"/>
              <a:ext cx="23544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99985</xdr:colOff>
      <xdr:row>14</xdr:row>
      <xdr:rowOff>184327</xdr:rowOff>
    </xdr:from>
    <xdr:to>
      <xdr:col>7</xdr:col>
      <xdr:colOff>339704</xdr:colOff>
      <xdr:row>15</xdr:row>
      <xdr:rowOff>6384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E0B99DEC-D09D-4312-38B1-ADBBECE9C9E7}"/>
                </a:ext>
              </a:extLst>
            </xdr14:cNvPr>
            <xdr14:cNvContentPartPr/>
          </xdr14:nvContentPartPr>
          <xdr14:nvPr macro=""/>
          <xdr14:xfrm>
            <a:off x="5041440" y="2793600"/>
            <a:ext cx="1455840" cy="7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E0B99DEC-D09D-4312-38B1-ADBBECE9C9E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023440" y="2757600"/>
              <a:ext cx="14914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500223</xdr:colOff>
      <xdr:row>9</xdr:row>
      <xdr:rowOff>169084</xdr:rowOff>
    </xdr:from>
    <xdr:to>
      <xdr:col>9</xdr:col>
      <xdr:colOff>500583</xdr:colOff>
      <xdr:row>14</xdr:row>
      <xdr:rowOff>176767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20002B71-4724-3F69-C150-BDA506B76B02}"/>
                </a:ext>
              </a:extLst>
            </xdr14:cNvPr>
            <xdr14:cNvContentPartPr/>
          </xdr14:nvContentPartPr>
          <xdr14:nvPr macro=""/>
          <xdr14:xfrm>
            <a:off x="7873920" y="1854720"/>
            <a:ext cx="360" cy="93132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20002B71-4724-3F69-C150-BDA506B76B0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855920" y="1837080"/>
              <a:ext cx="36000" cy="9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492303</xdr:colOff>
      <xdr:row>9</xdr:row>
      <xdr:rowOff>169084</xdr:rowOff>
    </xdr:from>
    <xdr:to>
      <xdr:col>14</xdr:col>
      <xdr:colOff>585440</xdr:colOff>
      <xdr:row>9</xdr:row>
      <xdr:rowOff>169804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EFB32D22-C16C-0218-6FE4-4487AE1846F0}"/>
                </a:ext>
              </a:extLst>
            </xdr14:cNvPr>
            <xdr14:cNvContentPartPr/>
          </xdr14:nvContentPartPr>
          <xdr14:nvPr macro=""/>
          <xdr14:xfrm>
            <a:off x="7866000" y="1854720"/>
            <a:ext cx="3133440" cy="7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EFB32D22-C16C-0218-6FE4-4487AE1846F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848000" y="1818720"/>
              <a:ext cx="31690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484743</xdr:colOff>
      <xdr:row>14</xdr:row>
      <xdr:rowOff>169207</xdr:rowOff>
    </xdr:from>
    <xdr:to>
      <xdr:col>14</xdr:col>
      <xdr:colOff>500840</xdr:colOff>
      <xdr:row>14</xdr:row>
      <xdr:rowOff>169927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40060FC0-0633-CD78-6E2A-249BCA331A19}"/>
                </a:ext>
              </a:extLst>
            </xdr14:cNvPr>
            <xdr14:cNvContentPartPr/>
          </xdr14:nvContentPartPr>
          <xdr14:nvPr macro=""/>
          <xdr14:xfrm>
            <a:off x="7858440" y="2778480"/>
            <a:ext cx="3056400" cy="72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40060FC0-0633-CD78-6E2A-249BCA331A1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840800" y="2742480"/>
              <a:ext cx="309204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507680</xdr:colOff>
      <xdr:row>9</xdr:row>
      <xdr:rowOff>184564</xdr:rowOff>
    </xdr:from>
    <xdr:to>
      <xdr:col>14</xdr:col>
      <xdr:colOff>508400</xdr:colOff>
      <xdr:row>14</xdr:row>
      <xdr:rowOff>169567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9576CFDC-B1AA-68F7-35DF-323D20C75636}"/>
                </a:ext>
              </a:extLst>
            </xdr14:cNvPr>
            <xdr14:cNvContentPartPr/>
          </xdr14:nvContentPartPr>
          <xdr14:nvPr macro=""/>
          <xdr14:xfrm>
            <a:off x="10921680" y="1870200"/>
            <a:ext cx="720" cy="90864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9576CFDC-B1AA-68F7-35DF-323D20C7563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885680" y="1852200"/>
              <a:ext cx="72000" cy="94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446264</xdr:colOff>
      <xdr:row>9</xdr:row>
      <xdr:rowOff>176644</xdr:rowOff>
    </xdr:from>
    <xdr:to>
      <xdr:col>9</xdr:col>
      <xdr:colOff>361623</xdr:colOff>
      <xdr:row>10</xdr:row>
      <xdr:rowOff>196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F7E80329-D598-8239-DC35-C9FCE745BC5F}"/>
                </a:ext>
              </a:extLst>
            </xdr14:cNvPr>
            <xdr14:cNvContentPartPr/>
          </xdr14:nvContentPartPr>
          <xdr14:nvPr macro=""/>
          <xdr14:xfrm>
            <a:off x="6603840" y="1862280"/>
            <a:ext cx="1131480" cy="828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F7E80329-D598-8239-DC35-C9FCE745BC5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6586200" y="1844640"/>
              <a:ext cx="116712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400184</xdr:colOff>
      <xdr:row>9</xdr:row>
      <xdr:rowOff>169084</xdr:rowOff>
    </xdr:from>
    <xdr:to>
      <xdr:col>7</xdr:col>
      <xdr:colOff>432584</xdr:colOff>
      <xdr:row>15</xdr:row>
      <xdr:rowOff>37760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CDFD7725-4CE2-460C-ECCC-70CDACAB2B38}"/>
                </a:ext>
              </a:extLst>
            </xdr14:cNvPr>
            <xdr14:cNvContentPartPr/>
          </xdr14:nvContentPartPr>
          <xdr14:nvPr macro=""/>
          <xdr14:xfrm>
            <a:off x="6557760" y="1854720"/>
            <a:ext cx="32400" cy="97704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CDFD7725-4CE2-460C-ECCC-70CDACAB2B3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6540120" y="1837080"/>
              <a:ext cx="68040" cy="10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423224</xdr:colOff>
      <xdr:row>14</xdr:row>
      <xdr:rowOff>161287</xdr:rowOff>
    </xdr:from>
    <xdr:to>
      <xdr:col>9</xdr:col>
      <xdr:colOff>547743</xdr:colOff>
      <xdr:row>15</xdr:row>
      <xdr:rowOff>23360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88A0B947-8A9D-19F9-E265-B29E99E13DBC}"/>
                </a:ext>
              </a:extLst>
            </xdr14:cNvPr>
            <xdr14:cNvContentPartPr/>
          </xdr14:nvContentPartPr>
          <xdr14:nvPr macro=""/>
          <xdr14:xfrm>
            <a:off x="6580800" y="2770560"/>
            <a:ext cx="1340640" cy="4680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88A0B947-8A9D-19F9-E265-B29E99E13DBC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6562800" y="2752560"/>
              <a:ext cx="1376280" cy="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385023</xdr:colOff>
      <xdr:row>9</xdr:row>
      <xdr:rowOff>176644</xdr:rowOff>
    </xdr:from>
    <xdr:to>
      <xdr:col>9</xdr:col>
      <xdr:colOff>392943</xdr:colOff>
      <xdr:row>14</xdr:row>
      <xdr:rowOff>161647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96EAC677-BF63-4DCC-9023-0D626CDF0764}"/>
                </a:ext>
              </a:extLst>
            </xdr14:cNvPr>
            <xdr14:cNvContentPartPr/>
          </xdr14:nvContentPartPr>
          <xdr14:nvPr macro=""/>
          <xdr14:xfrm>
            <a:off x="7758720" y="1862280"/>
            <a:ext cx="7920" cy="90864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96EAC677-BF63-4DCC-9023-0D626CDF0764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741503" y="1844640"/>
              <a:ext cx="42010" cy="94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176964</xdr:colOff>
      <xdr:row>24</xdr:row>
      <xdr:rowOff>169095</xdr:rowOff>
    </xdr:from>
    <xdr:to>
      <xdr:col>8</xdr:col>
      <xdr:colOff>177324</xdr:colOff>
      <xdr:row>24</xdr:row>
      <xdr:rowOff>169455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E1C8DBA2-9BD4-B15F-4FE7-3A29C1B08860}"/>
                </a:ext>
              </a:extLst>
            </xdr14:cNvPr>
            <xdr14:cNvContentPartPr/>
          </xdr14:nvContentPartPr>
          <xdr14:nvPr macro=""/>
          <xdr14:xfrm>
            <a:off x="6942600" y="4625640"/>
            <a:ext cx="360" cy="3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E1C8DBA2-9BD4-B15F-4FE7-3A29C1B0886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924600" y="46080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68984</xdr:colOff>
      <xdr:row>15</xdr:row>
      <xdr:rowOff>130640</xdr:rowOff>
    </xdr:from>
    <xdr:to>
      <xdr:col>8</xdr:col>
      <xdr:colOff>593124</xdr:colOff>
      <xdr:row>16</xdr:row>
      <xdr:rowOff>7833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4D062F49-72F0-8E53-C68C-0CC0C21D4246}"/>
                </a:ext>
              </a:extLst>
            </xdr14:cNvPr>
            <xdr14:cNvContentPartPr/>
          </xdr14:nvContentPartPr>
          <xdr14:nvPr macro=""/>
          <xdr14:xfrm>
            <a:off x="6226560" y="2924640"/>
            <a:ext cx="1132200" cy="6192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4D062F49-72F0-8E53-C68C-0CC0C21D4246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208560" y="2907000"/>
              <a:ext cx="116784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38384</xdr:colOff>
      <xdr:row>15</xdr:row>
      <xdr:rowOff>133160</xdr:rowOff>
    </xdr:from>
    <xdr:to>
      <xdr:col>9</xdr:col>
      <xdr:colOff>127983</xdr:colOff>
      <xdr:row>21</xdr:row>
      <xdr:rowOff>124236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A395540B-1DBA-B11D-C6D8-22E7B283020A}"/>
                </a:ext>
              </a:extLst>
            </xdr14:cNvPr>
            <xdr14:cNvContentPartPr/>
          </xdr14:nvContentPartPr>
          <xdr14:nvPr macro=""/>
          <xdr14:xfrm>
            <a:off x="6195960" y="2927160"/>
            <a:ext cx="1305720" cy="109944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A395540B-1DBA-B11D-C6D8-22E7B283020A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6178320" y="2909160"/>
              <a:ext cx="1341360" cy="11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223023</xdr:colOff>
      <xdr:row>15</xdr:row>
      <xdr:rowOff>154040</xdr:rowOff>
    </xdr:from>
    <xdr:to>
      <xdr:col>11</xdr:col>
      <xdr:colOff>39022</xdr:colOff>
      <xdr:row>16</xdr:row>
      <xdr:rowOff>108993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41B2F3E0-0B1F-9E61-5682-847210A363FD}"/>
                </a:ext>
              </a:extLst>
            </xdr14:cNvPr>
            <xdr14:cNvContentPartPr/>
          </xdr14:nvContentPartPr>
          <xdr14:nvPr macro=""/>
          <xdr14:xfrm>
            <a:off x="7596720" y="2948040"/>
            <a:ext cx="1032120" cy="13968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41B2F3E0-0B1F-9E61-5682-847210A363F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7579080" y="2930040"/>
              <a:ext cx="106776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37942</xdr:colOff>
      <xdr:row>16</xdr:row>
      <xdr:rowOff>15033</xdr:rowOff>
    </xdr:from>
    <xdr:to>
      <xdr:col>11</xdr:col>
      <xdr:colOff>54142</xdr:colOff>
      <xdr:row>21</xdr:row>
      <xdr:rowOff>92196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2C30E23D-F474-EF79-88E7-F5ACC01FC020}"/>
                </a:ext>
              </a:extLst>
            </xdr14:cNvPr>
            <xdr14:cNvContentPartPr/>
          </xdr14:nvContentPartPr>
          <xdr14:nvPr macro=""/>
          <xdr14:xfrm>
            <a:off x="8627760" y="2993760"/>
            <a:ext cx="16200" cy="10008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2C30E23D-F474-EF79-88E7-F5ACC01FC020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8609760" y="2976120"/>
              <a:ext cx="51840" cy="10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192063</xdr:colOff>
      <xdr:row>15</xdr:row>
      <xdr:rowOff>145760</xdr:rowOff>
    </xdr:from>
    <xdr:to>
      <xdr:col>9</xdr:col>
      <xdr:colOff>323463</xdr:colOff>
      <xdr:row>21</xdr:row>
      <xdr:rowOff>138636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48FCE883-2A39-4D6E-0D40-BCF47A8595C8}"/>
                </a:ext>
              </a:extLst>
            </xdr14:cNvPr>
            <xdr14:cNvContentPartPr/>
          </xdr14:nvContentPartPr>
          <xdr14:nvPr macro=""/>
          <xdr14:xfrm>
            <a:off x="7565760" y="2939760"/>
            <a:ext cx="131400" cy="110124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48FCE883-2A39-4D6E-0D40-BCF47A8595C8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547760" y="2921760"/>
              <a:ext cx="167040" cy="11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323103</xdr:colOff>
      <xdr:row>21</xdr:row>
      <xdr:rowOff>107676</xdr:rowOff>
    </xdr:from>
    <xdr:to>
      <xdr:col>11</xdr:col>
      <xdr:colOff>38302</xdr:colOff>
      <xdr:row>21</xdr:row>
      <xdr:rowOff>138636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2888380D-9F11-8DCB-BFF7-83210A70ADE9}"/>
                </a:ext>
              </a:extLst>
            </xdr14:cNvPr>
            <xdr14:cNvContentPartPr/>
          </xdr14:nvContentPartPr>
          <xdr14:nvPr macro=""/>
          <xdr14:xfrm>
            <a:off x="7696800" y="4010040"/>
            <a:ext cx="931320" cy="3096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2888380D-9F11-8DCB-BFF7-83210A70ADE9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7678800" y="3992040"/>
              <a:ext cx="96696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315142</xdr:colOff>
      <xdr:row>15</xdr:row>
      <xdr:rowOff>144680</xdr:rowOff>
    </xdr:from>
    <xdr:to>
      <xdr:col>13</xdr:col>
      <xdr:colOff>176141</xdr:colOff>
      <xdr:row>15</xdr:row>
      <xdr:rowOff>161960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E936ABF6-5FCC-7C06-D2BC-246269823CE5}"/>
                </a:ext>
              </a:extLst>
            </xdr14:cNvPr>
            <xdr14:cNvContentPartPr/>
          </xdr14:nvContentPartPr>
          <xdr14:nvPr macro=""/>
          <xdr14:xfrm>
            <a:off x="8904960" y="2938680"/>
            <a:ext cx="1077120" cy="1728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E936ABF6-5FCC-7C06-D2BC-246269823CE5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8887320" y="2921040"/>
              <a:ext cx="1112760" cy="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330982</xdr:colOff>
      <xdr:row>15</xdr:row>
      <xdr:rowOff>176720</xdr:rowOff>
    </xdr:from>
    <xdr:to>
      <xdr:col>11</xdr:col>
      <xdr:colOff>408022</xdr:colOff>
      <xdr:row>22</xdr:row>
      <xdr:rowOff>3741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F6E17C32-B04E-F3D3-FFC2-E3FDA535F139}"/>
                </a:ext>
              </a:extLst>
            </xdr14:cNvPr>
            <xdr14:cNvContentPartPr/>
          </xdr14:nvContentPartPr>
          <xdr14:nvPr macro=""/>
          <xdr14:xfrm>
            <a:off x="8920800" y="2970720"/>
            <a:ext cx="77040" cy="111636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F6E17C32-B04E-F3D3-FFC2-E3FDA535F139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8902800" y="2953080"/>
              <a:ext cx="112680" cy="11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415582</xdr:colOff>
      <xdr:row>21</xdr:row>
      <xdr:rowOff>99036</xdr:rowOff>
    </xdr:from>
    <xdr:to>
      <xdr:col>14</xdr:col>
      <xdr:colOff>547280</xdr:colOff>
      <xdr:row>22</xdr:row>
      <xdr:rowOff>53989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46AA58F1-0466-7806-FEF9-3F21420BCC7C}"/>
                </a:ext>
              </a:extLst>
            </xdr14:cNvPr>
            <xdr14:cNvContentPartPr/>
          </xdr14:nvContentPartPr>
          <xdr14:nvPr macro=""/>
          <xdr14:xfrm>
            <a:off x="9005400" y="4001400"/>
            <a:ext cx="1955880" cy="13968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46AA58F1-0466-7806-FEF9-3F21420BCC7C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8987760" y="3983760"/>
              <a:ext cx="199152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384622</xdr:colOff>
      <xdr:row>22</xdr:row>
      <xdr:rowOff>30589</xdr:rowOff>
    </xdr:from>
    <xdr:to>
      <xdr:col>11</xdr:col>
      <xdr:colOff>415942</xdr:colOff>
      <xdr:row>22</xdr:row>
      <xdr:rowOff>30949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DEA832C3-53C5-378C-8156-7958D84C25DB}"/>
                </a:ext>
              </a:extLst>
            </xdr14:cNvPr>
            <xdr14:cNvContentPartPr/>
          </xdr14:nvContentPartPr>
          <xdr14:nvPr macro=""/>
          <xdr14:xfrm>
            <a:off x="8974440" y="4117680"/>
            <a:ext cx="31320" cy="36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DEA832C3-53C5-378C-8156-7958D84C25DB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8956800" y="4100040"/>
              <a:ext cx="669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130925</xdr:colOff>
      <xdr:row>19</xdr:row>
      <xdr:rowOff>138371</xdr:rowOff>
    </xdr:from>
    <xdr:to>
      <xdr:col>6</xdr:col>
      <xdr:colOff>131285</xdr:colOff>
      <xdr:row>19</xdr:row>
      <xdr:rowOff>138731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DC8289FA-809D-D802-05BA-5238DCE588FB}"/>
                </a:ext>
              </a:extLst>
            </xdr14:cNvPr>
            <xdr14:cNvContentPartPr/>
          </xdr14:nvContentPartPr>
          <xdr14:nvPr macro=""/>
          <xdr14:xfrm>
            <a:off x="5680440" y="3671280"/>
            <a:ext cx="360" cy="36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DC8289FA-809D-D802-05BA-5238DCE588F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662440" y="36532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237145</xdr:colOff>
      <xdr:row>17</xdr:row>
      <xdr:rowOff>161865</xdr:rowOff>
    </xdr:from>
    <xdr:to>
      <xdr:col>6</xdr:col>
      <xdr:colOff>299405</xdr:colOff>
      <xdr:row>20</xdr:row>
      <xdr:rowOff>109164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3576A87E-259A-237D-5588-4F226655BB71}"/>
                </a:ext>
              </a:extLst>
            </xdr14:cNvPr>
            <xdr14:cNvContentPartPr/>
          </xdr14:nvContentPartPr>
          <xdr14:nvPr macro=""/>
          <xdr14:xfrm>
            <a:off x="5178600" y="3325320"/>
            <a:ext cx="670320" cy="50148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3576A87E-259A-237D-5588-4F226655BB7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5160960" y="3307680"/>
              <a:ext cx="705960" cy="53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369224</xdr:colOff>
      <xdr:row>18</xdr:row>
      <xdr:rowOff>53458</xdr:rowOff>
    </xdr:from>
    <xdr:to>
      <xdr:col>7</xdr:col>
      <xdr:colOff>369944</xdr:colOff>
      <xdr:row>20</xdr:row>
      <xdr:rowOff>77124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5D62E7A9-1B09-CBBF-28D8-83E131BABE8F}"/>
                </a:ext>
              </a:extLst>
            </xdr14:cNvPr>
            <xdr14:cNvContentPartPr/>
          </xdr14:nvContentPartPr>
          <xdr14:nvPr macro=""/>
          <xdr14:xfrm>
            <a:off x="6526800" y="3401640"/>
            <a:ext cx="720" cy="39312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5D62E7A9-1B09-CBBF-28D8-83E131BABE8F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6490800" y="3384000"/>
              <a:ext cx="72000" cy="42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253664</xdr:colOff>
      <xdr:row>18</xdr:row>
      <xdr:rowOff>45178</xdr:rowOff>
    </xdr:from>
    <xdr:to>
      <xdr:col>8</xdr:col>
      <xdr:colOff>307644</xdr:colOff>
      <xdr:row>20</xdr:row>
      <xdr:rowOff>121764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6278BF20-B09F-A02E-788A-3408AB92918F}"/>
                </a:ext>
              </a:extLst>
            </xdr14:cNvPr>
            <xdr14:cNvContentPartPr/>
          </xdr14:nvContentPartPr>
          <xdr14:nvPr macro=""/>
          <xdr14:xfrm>
            <a:off x="6411240" y="3393360"/>
            <a:ext cx="662040" cy="44604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6278BF20-B09F-A02E-788A-3408AB92918F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6393610" y="3375375"/>
              <a:ext cx="697661" cy="4816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350103</xdr:colOff>
      <xdr:row>18</xdr:row>
      <xdr:rowOff>45898</xdr:rowOff>
    </xdr:from>
    <xdr:to>
      <xdr:col>10</xdr:col>
      <xdr:colOff>296802</xdr:colOff>
      <xdr:row>21</xdr:row>
      <xdr:rowOff>29916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EE07FF8D-CF0F-3088-A8D3-69DEF5928EEE}"/>
                </a:ext>
              </a:extLst>
            </xdr14:cNvPr>
            <xdr14:cNvContentPartPr/>
          </xdr14:nvContentPartPr>
          <xdr14:nvPr macro=""/>
          <xdr14:xfrm>
            <a:off x="7723800" y="3394080"/>
            <a:ext cx="554760" cy="53820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EE07FF8D-CF0F-3088-A8D3-69DEF5928EEE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7706160" y="3376428"/>
              <a:ext cx="590400" cy="573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423224</xdr:colOff>
      <xdr:row>4</xdr:row>
      <xdr:rowOff>23160</xdr:rowOff>
    </xdr:from>
    <xdr:to>
      <xdr:col>10</xdr:col>
      <xdr:colOff>301842</xdr:colOff>
      <xdr:row>8</xdr:row>
      <xdr:rowOff>156531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FA5AD637-1E93-2794-A8BA-BFA8E83751BA}"/>
                </a:ext>
              </a:extLst>
            </xdr14:cNvPr>
            <xdr14:cNvContentPartPr/>
          </xdr14:nvContentPartPr>
          <xdr14:nvPr macro=""/>
          <xdr14:xfrm>
            <a:off x="6580800" y="785160"/>
            <a:ext cx="1702800" cy="8722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FA5AD637-1E93-2794-A8BA-BFA8E83751BA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6562804" y="767167"/>
              <a:ext cx="1738432" cy="9079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254004</xdr:colOff>
      <xdr:row>7</xdr:row>
      <xdr:rowOff>154058</xdr:rowOff>
    </xdr:from>
    <xdr:to>
      <xdr:col>8</xdr:col>
      <xdr:colOff>277764</xdr:colOff>
      <xdr:row>8</xdr:row>
      <xdr:rowOff>106851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3524BCEA-975B-5063-1F26-4C4F434046AF}"/>
                </a:ext>
              </a:extLst>
            </xdr14:cNvPr>
            <xdr14:cNvContentPartPr/>
          </xdr14:nvContentPartPr>
          <xdr14:nvPr macro=""/>
          <xdr14:xfrm>
            <a:off x="7019640" y="1470240"/>
            <a:ext cx="23760" cy="13752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3524BCEA-975B-5063-1F26-4C4F434046AF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7001640" y="1452240"/>
              <a:ext cx="594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176943</xdr:colOff>
      <xdr:row>10</xdr:row>
      <xdr:rowOff>107836</xdr:rowOff>
    </xdr:from>
    <xdr:to>
      <xdr:col>9</xdr:col>
      <xdr:colOff>243903</xdr:colOff>
      <xdr:row>11</xdr:row>
      <xdr:rowOff>161069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A9FAFCFB-B585-9806-3D2A-ED7C462AC048}"/>
                </a:ext>
              </a:extLst>
            </xdr14:cNvPr>
            <xdr14:cNvContentPartPr/>
          </xdr14:nvContentPartPr>
          <xdr14:nvPr macro=""/>
          <xdr14:xfrm>
            <a:off x="7550640" y="1978200"/>
            <a:ext cx="66960" cy="23796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A9FAFCFB-B585-9806-3D2A-ED7C462AC048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7532640" y="1960200"/>
              <a:ext cx="10260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206823</xdr:colOff>
      <xdr:row>10</xdr:row>
      <xdr:rowOff>122236</xdr:rowOff>
    </xdr:from>
    <xdr:to>
      <xdr:col>9</xdr:col>
      <xdr:colOff>447303</xdr:colOff>
      <xdr:row>12</xdr:row>
      <xdr:rowOff>31782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C46C5475-3110-67AA-4A81-5B1912A9D13B}"/>
                </a:ext>
              </a:extLst>
            </xdr14:cNvPr>
            <xdr14:cNvContentPartPr/>
          </xdr14:nvContentPartPr>
          <xdr14:nvPr macro=""/>
          <xdr14:xfrm>
            <a:off x="7580520" y="1992600"/>
            <a:ext cx="240480" cy="27900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C46C5475-3110-67AA-4A81-5B1912A9D13B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562880" y="1974960"/>
              <a:ext cx="276120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522584</xdr:colOff>
      <xdr:row>9</xdr:row>
      <xdr:rowOff>162964</xdr:rowOff>
    </xdr:from>
    <xdr:to>
      <xdr:col>9</xdr:col>
      <xdr:colOff>400143</xdr:colOff>
      <xdr:row>15</xdr:row>
      <xdr:rowOff>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EE2D961-E1F3-10E9-23BB-3E4C16D69FD7}"/>
                </a:ext>
              </a:extLst>
            </xdr14:cNvPr>
            <xdr14:cNvContentPartPr/>
          </xdr14:nvContentPartPr>
          <xdr14:nvPr macro=""/>
          <xdr14:xfrm>
            <a:off x="6680160" y="1848600"/>
            <a:ext cx="1093680" cy="94680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EE2D961-E1F3-10E9-23BB-3E4C16D69FD7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6662520" y="1830960"/>
              <a:ext cx="1129320" cy="9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152741</xdr:colOff>
      <xdr:row>16</xdr:row>
      <xdr:rowOff>85593</xdr:rowOff>
    </xdr:from>
    <xdr:to>
      <xdr:col>14</xdr:col>
      <xdr:colOff>515960</xdr:colOff>
      <xdr:row>21</xdr:row>
      <xdr:rowOff>30996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6B5EAF2E-6251-CE8C-E377-ED282556DC4F}"/>
                </a:ext>
              </a:extLst>
            </xdr14:cNvPr>
            <xdr14:cNvContentPartPr/>
          </xdr14:nvContentPartPr>
          <xdr14:nvPr macro=""/>
          <xdr14:xfrm>
            <a:off x="9958680" y="3064320"/>
            <a:ext cx="971280" cy="86904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6B5EAF2E-6251-CE8C-E377-ED282556DC4F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940680" y="3046680"/>
              <a:ext cx="1006920" cy="904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140970</xdr:rowOff>
    </xdr:from>
    <xdr:to>
      <xdr:col>2</xdr:col>
      <xdr:colOff>990600</xdr:colOff>
      <xdr:row>78</xdr:row>
      <xdr:rowOff>53340</xdr:rowOff>
    </xdr:to>
    <xdr:graphicFrame macro="">
      <xdr:nvGraphicFramePr>
        <xdr:cNvPr id="49" name="Chart 1">
          <a:extLst>
            <a:ext uri="{FF2B5EF4-FFF2-40B4-BE49-F238E27FC236}">
              <a16:creationId xmlns:a16="http://schemas.microsoft.com/office/drawing/2014/main" id="{30D594F5-F63B-0DFF-2ADB-EF8B60A72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123825</xdr:colOff>
      <xdr:row>58</xdr:row>
      <xdr:rowOff>152400</xdr:rowOff>
    </xdr:from>
    <xdr:to>
      <xdr:col>6</xdr:col>
      <xdr:colOff>123825</xdr:colOff>
      <xdr:row>67</xdr:row>
      <xdr:rowOff>123825</xdr:rowOff>
    </xdr:to>
    <xdr:graphicFrame macro="">
      <xdr:nvGraphicFramePr>
        <xdr:cNvPr id="57" name="Chart 2">
          <a:extLst>
            <a:ext uri="{FF2B5EF4-FFF2-40B4-BE49-F238E27FC236}">
              <a16:creationId xmlns:a16="http://schemas.microsoft.com/office/drawing/2014/main" id="{A6DB9667-D446-386B-537D-39A66A40DCB7}"/>
            </a:ext>
            <a:ext uri="{147F2762-F138-4A5C-976F-8EAC2B608ADB}">
              <a16:predDERef xmlns:a16="http://schemas.microsoft.com/office/drawing/2014/main" pred="{30D594F5-F63B-0DFF-2ADB-EF8B60A72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139</xdr:row>
      <xdr:rowOff>9525</xdr:rowOff>
    </xdr:from>
    <xdr:to>
      <xdr:col>3</xdr:col>
      <xdr:colOff>1095375</xdr:colOff>
      <xdr:row>154</xdr:row>
      <xdr:rowOff>38100</xdr:rowOff>
    </xdr:to>
    <xdr:graphicFrame macro="">
      <xdr:nvGraphicFramePr>
        <xdr:cNvPr id="51" name="Chart 14">
          <a:extLst>
            <a:ext uri="{FF2B5EF4-FFF2-40B4-BE49-F238E27FC236}">
              <a16:creationId xmlns:a16="http://schemas.microsoft.com/office/drawing/2014/main" id="{287FF245-FC9B-E10D-B9E1-762C968F5E6C}"/>
            </a:ext>
            <a:ext uri="{147F2762-F138-4A5C-976F-8EAC2B608ADB}">
              <a16:predDERef xmlns:a16="http://schemas.microsoft.com/office/drawing/2014/main" pred="{A6DB9667-D446-386B-537D-39A66A40D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1571625</xdr:colOff>
      <xdr:row>81</xdr:row>
      <xdr:rowOff>66675</xdr:rowOff>
    </xdr:from>
    <xdr:to>
      <xdr:col>5</xdr:col>
      <xdr:colOff>1752600</xdr:colOff>
      <xdr:row>93</xdr:row>
      <xdr:rowOff>15240</xdr:rowOff>
    </xdr:to>
    <xdr:graphicFrame macro="">
      <xdr:nvGraphicFramePr>
        <xdr:cNvPr id="44" name="Chart 6">
          <a:extLst>
            <a:ext uri="{FF2B5EF4-FFF2-40B4-BE49-F238E27FC236}">
              <a16:creationId xmlns:a16="http://schemas.microsoft.com/office/drawing/2014/main" id="{A46AD1F8-257B-E52A-1DDD-491B3626093C}"/>
            </a:ext>
            <a:ext uri="{147F2762-F138-4A5C-976F-8EAC2B608ADB}">
              <a16:predDERef xmlns:a16="http://schemas.microsoft.com/office/drawing/2014/main" pred="{287FF245-FC9B-E10D-B9E1-762C968F5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600075</xdr:colOff>
      <xdr:row>62</xdr:row>
      <xdr:rowOff>57150</xdr:rowOff>
    </xdr:from>
    <xdr:to>
      <xdr:col>15</xdr:col>
      <xdr:colOff>723900</xdr:colOff>
      <xdr:row>74</xdr:row>
      <xdr:rowOff>123825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4E8D849-CC20-3D2B-AA27-32942BE5AADB}"/>
            </a:ext>
            <a:ext uri="{147F2762-F138-4A5C-976F-8EAC2B608ADB}">
              <a16:predDERef xmlns:a16="http://schemas.microsoft.com/office/drawing/2014/main" pred="{A46AD1F8-257B-E52A-1DDD-491B36260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470535</xdr:colOff>
      <xdr:row>85</xdr:row>
      <xdr:rowOff>163831</xdr:rowOff>
    </xdr:from>
    <xdr:to>
      <xdr:col>15</xdr:col>
      <xdr:colOff>594361</xdr:colOff>
      <xdr:row>98</xdr:row>
      <xdr:rowOff>68581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D3F15C38-92E7-7DC5-B329-E8DF53172F7B}"/>
            </a:ext>
            <a:ext uri="{147F2762-F138-4A5C-976F-8EAC2B608ADB}">
              <a16:predDERef xmlns:a16="http://schemas.microsoft.com/office/drawing/2014/main" pred="{84E8D849-CC20-3D2B-AA27-32942BE5A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95251</xdr:colOff>
      <xdr:row>110</xdr:row>
      <xdr:rowOff>161925</xdr:rowOff>
    </xdr:from>
    <xdr:to>
      <xdr:col>7</xdr:col>
      <xdr:colOff>1089661</xdr:colOff>
      <xdr:row>121</xdr:row>
      <xdr:rowOff>91440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7F26ED0E-A66C-773A-9B22-946F63A102A7}"/>
            </a:ext>
            <a:ext uri="{147F2762-F138-4A5C-976F-8EAC2B608ADB}">
              <a16:predDERef xmlns:a16="http://schemas.microsoft.com/office/drawing/2014/main" pred="{D3F15C38-92E7-7DC5-B329-E8DF53172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567690</xdr:colOff>
      <xdr:row>70</xdr:row>
      <xdr:rowOff>104775</xdr:rowOff>
    </xdr:from>
    <xdr:to>
      <xdr:col>10</xdr:col>
      <xdr:colOff>7620</xdr:colOff>
      <xdr:row>82</xdr:row>
      <xdr:rowOff>160020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6910FD76-7F36-551E-E0C0-D4E218674A11}"/>
            </a:ext>
            <a:ext uri="{147F2762-F138-4A5C-976F-8EAC2B608ADB}">
              <a16:predDERef xmlns:a16="http://schemas.microsoft.com/office/drawing/2014/main" pred="{7F26ED0E-A66C-773A-9B22-946F63A10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428625</xdr:colOff>
      <xdr:row>134</xdr:row>
      <xdr:rowOff>114300</xdr:rowOff>
    </xdr:from>
    <xdr:to>
      <xdr:col>5</xdr:col>
      <xdr:colOff>1162050</xdr:colOff>
      <xdr:row>139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hift">
              <a:extLst>
                <a:ext uri="{FF2B5EF4-FFF2-40B4-BE49-F238E27FC236}">
                  <a16:creationId xmlns:a16="http://schemas.microsoft.com/office/drawing/2014/main" id="{462CC3DD-BF9E-D797-9952-60153B146DC5}"/>
                </a:ext>
                <a:ext uri="{147F2762-F138-4A5C-976F-8EAC2B608ADB}">
                  <a16:predDERef xmlns:a16="http://schemas.microsoft.com/office/drawing/2014/main" pred="{6910FD76-7F36-551E-E0C0-D4E218674A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8425" y="26908125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1371600</xdr:colOff>
      <xdr:row>134</xdr:row>
      <xdr:rowOff>104775</xdr:rowOff>
    </xdr:from>
    <xdr:to>
      <xdr:col>7</xdr:col>
      <xdr:colOff>28575</xdr:colOff>
      <xdr:row>139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eam">
              <a:extLst>
                <a:ext uri="{FF2B5EF4-FFF2-40B4-BE49-F238E27FC236}">
                  <a16:creationId xmlns:a16="http://schemas.microsoft.com/office/drawing/2014/main" id="{75FB20BB-5B34-DCBC-D577-C0EC1A8DD199}"/>
                </a:ext>
                <a:ext uri="{147F2762-F138-4A5C-976F-8EAC2B608ADB}">
                  <a16:predDERef xmlns:a16="http://schemas.microsoft.com/office/drawing/2014/main" pred="{462CC3DD-BF9E-D797-9952-60153B146D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9875" y="28432125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342900</xdr:colOff>
      <xdr:row>139</xdr:row>
      <xdr:rowOff>123825</xdr:rowOff>
    </xdr:from>
    <xdr:to>
      <xdr:col>8</xdr:col>
      <xdr:colOff>390525</xdr:colOff>
      <xdr:row>146</xdr:row>
      <xdr:rowOff>91440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90" name="DowntimeStart">
              <a:extLst>
                <a:ext uri="{FF2B5EF4-FFF2-40B4-BE49-F238E27FC236}">
                  <a16:creationId xmlns:a16="http://schemas.microsoft.com/office/drawing/2014/main" id="{40A318CA-222A-9E2D-FEE3-EDFDDDEA0120}"/>
                </a:ext>
                <a:ext uri="{147F2762-F138-4A5C-976F-8EAC2B608ADB}">
                  <a16:predDERef xmlns:a16="http://schemas.microsoft.com/office/drawing/2014/main" pred="{75FB20BB-5B34-DCBC-D577-C0EC1A8DD1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owntimeStar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43425" y="34604325"/>
              <a:ext cx="52673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99060</xdr:colOff>
      <xdr:row>62</xdr:row>
      <xdr:rowOff>76200</xdr:rowOff>
    </xdr:from>
    <xdr:to>
      <xdr:col>0</xdr:col>
      <xdr:colOff>1432560</xdr:colOff>
      <xdr:row>63</xdr:row>
      <xdr:rowOff>175260</xdr:rowOff>
    </xdr:to>
    <xdr:sp macro="" textlink="$A$62">
      <xdr:nvSpPr>
        <xdr:cNvPr id="3" name="TextBox 2">
          <a:extLst>
            <a:ext uri="{FF2B5EF4-FFF2-40B4-BE49-F238E27FC236}">
              <a16:creationId xmlns:a16="http://schemas.microsoft.com/office/drawing/2014/main" id="{FA4BBA41-870F-7F95-0034-4C0B8857DA57}"/>
            </a:ext>
          </a:extLst>
        </xdr:cNvPr>
        <xdr:cNvSpPr txBox="1"/>
      </xdr:nvSpPr>
      <xdr:spPr>
        <a:xfrm>
          <a:off x="99060" y="20772120"/>
          <a:ext cx="133350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82EEFE-A0AD-4163-B9F3-101E6D5B582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₹ 1,21,300</a:t>
          </a:fld>
          <a:endParaRPr lang="en-IN" sz="1100"/>
        </a:p>
      </xdr:txBody>
    </xdr:sp>
    <xdr:clientData/>
  </xdr:twoCellAnchor>
  <xdr:twoCellAnchor>
    <xdr:from>
      <xdr:col>1</xdr:col>
      <xdr:colOff>22860</xdr:colOff>
      <xdr:row>62</xdr:row>
      <xdr:rowOff>83820</xdr:rowOff>
    </xdr:from>
    <xdr:to>
      <xdr:col>2</xdr:col>
      <xdr:colOff>160020</xdr:colOff>
      <xdr:row>64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C2AE6E-D28F-44F7-AC03-DCF553EEDF71}"/>
            </a:ext>
          </a:extLst>
        </xdr:cNvPr>
        <xdr:cNvSpPr txBox="1"/>
      </xdr:nvSpPr>
      <xdr:spPr>
        <a:xfrm>
          <a:off x="1607820" y="20779740"/>
          <a:ext cx="133350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388620</xdr:colOff>
      <xdr:row>62</xdr:row>
      <xdr:rowOff>83820</xdr:rowOff>
    </xdr:from>
    <xdr:to>
      <xdr:col>2</xdr:col>
      <xdr:colOff>1722120</xdr:colOff>
      <xdr:row>64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8FE610-4B13-4337-9278-57C3064240CD}"/>
            </a:ext>
          </a:extLst>
        </xdr:cNvPr>
        <xdr:cNvSpPr txBox="1"/>
      </xdr:nvSpPr>
      <xdr:spPr>
        <a:xfrm>
          <a:off x="3169920" y="20779740"/>
          <a:ext cx="133350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133350</xdr:rowOff>
    </xdr:from>
    <xdr:to>
      <xdr:col>5</xdr:col>
      <xdr:colOff>523875</xdr:colOff>
      <xdr:row>18</xdr:row>
      <xdr:rowOff>9525</xdr:rowOff>
    </xdr:to>
    <xdr:graphicFrame macro="">
      <xdr:nvGraphicFramePr>
        <xdr:cNvPr id="744" name="Chart 1">
          <a:extLst>
            <a:ext uri="{FF2B5EF4-FFF2-40B4-BE49-F238E27FC236}">
              <a16:creationId xmlns:a16="http://schemas.microsoft.com/office/drawing/2014/main" id="{2F538D9C-85F4-4599-97A4-CF9A499D1007}"/>
            </a:ext>
            <a:ext uri="{147F2762-F138-4A5C-976F-8EAC2B608ADB}">
              <a16:predDERef xmlns:a16="http://schemas.microsoft.com/office/drawing/2014/main" pred="{3808168E-E0A6-4946-A3A0-0FFF96539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523875</xdr:colOff>
      <xdr:row>7</xdr:row>
      <xdr:rowOff>121919</xdr:rowOff>
    </xdr:from>
    <xdr:to>
      <xdr:col>14</xdr:col>
      <xdr:colOff>581025</xdr:colOff>
      <xdr:row>18</xdr:row>
      <xdr:rowOff>139064</xdr:rowOff>
    </xdr:to>
    <xdr:graphicFrame macro="">
      <xdr:nvGraphicFramePr>
        <xdr:cNvPr id="924" name="Chart 8">
          <a:extLst>
            <a:ext uri="{FF2B5EF4-FFF2-40B4-BE49-F238E27FC236}">
              <a16:creationId xmlns:a16="http://schemas.microsoft.com/office/drawing/2014/main" id="{A88FAB53-DC86-49DF-959E-6DE75A73BFBD}"/>
            </a:ext>
            <a:ext uri="{147F2762-F138-4A5C-976F-8EAC2B608ADB}">
              <a16:predDERef xmlns:a16="http://schemas.microsoft.com/office/drawing/2014/main" pred="{2F538D9C-85F4-4599-97A4-CF9A499D1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502920</xdr:colOff>
      <xdr:row>19</xdr:row>
      <xdr:rowOff>59055</xdr:rowOff>
    </xdr:from>
    <xdr:to>
      <xdr:col>21</xdr:col>
      <xdr:colOff>274320</xdr:colOff>
      <xdr:row>29</xdr:row>
      <xdr:rowOff>59055</xdr:rowOff>
    </xdr:to>
    <xdr:graphicFrame macro="">
      <xdr:nvGraphicFramePr>
        <xdr:cNvPr id="1047" name="Chart 14">
          <a:extLst>
            <a:ext uri="{FF2B5EF4-FFF2-40B4-BE49-F238E27FC236}">
              <a16:creationId xmlns:a16="http://schemas.microsoft.com/office/drawing/2014/main" id="{0BE893E7-0F39-4AE6-AA2D-909EEE9FD7B4}"/>
            </a:ext>
            <a:ext uri="{147F2762-F138-4A5C-976F-8EAC2B608ADB}">
              <a16:predDERef xmlns:a16="http://schemas.microsoft.com/office/drawing/2014/main" pred="{A88FAB53-DC86-49DF-959E-6DE75A73B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154305</xdr:rowOff>
    </xdr:from>
    <xdr:to>
      <xdr:col>6</xdr:col>
      <xdr:colOff>428625</xdr:colOff>
      <xdr:row>30</xdr:row>
      <xdr:rowOff>0</xdr:rowOff>
    </xdr:to>
    <xdr:graphicFrame macro="">
      <xdr:nvGraphicFramePr>
        <xdr:cNvPr id="1044" name="Chart 7">
          <a:extLst>
            <a:ext uri="{FF2B5EF4-FFF2-40B4-BE49-F238E27FC236}">
              <a16:creationId xmlns:a16="http://schemas.microsoft.com/office/drawing/2014/main" id="{46700557-00FE-4A19-BAB7-37E6470DBA8E}"/>
            </a:ext>
            <a:ext uri="{147F2762-F138-4A5C-976F-8EAC2B608ADB}">
              <a16:predDERef xmlns:a16="http://schemas.microsoft.com/office/drawing/2014/main" pred="{0BE893E7-0F39-4AE6-AA2D-909EEE9FD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518160</xdr:colOff>
      <xdr:row>7</xdr:row>
      <xdr:rowOff>152400</xdr:rowOff>
    </xdr:from>
    <xdr:to>
      <xdr:col>8</xdr:col>
      <xdr:colOff>358140</xdr:colOff>
      <xdr:row>18</xdr:row>
      <xdr:rowOff>121920</xdr:rowOff>
    </xdr:to>
    <xdr:graphicFrame macro="">
      <xdr:nvGraphicFramePr>
        <xdr:cNvPr id="1039" name="Chart 2">
          <a:extLst>
            <a:ext uri="{FF2B5EF4-FFF2-40B4-BE49-F238E27FC236}">
              <a16:creationId xmlns:a16="http://schemas.microsoft.com/office/drawing/2014/main" id="{6642D68C-94CE-4DBE-93B0-97678052D53D}"/>
            </a:ext>
            <a:ext uri="{147F2762-F138-4A5C-976F-8EAC2B608ADB}">
              <a16:predDERef xmlns:a16="http://schemas.microsoft.com/office/drawing/2014/main" pred="{46700557-00FE-4A19-BAB7-37E6470DB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476250</xdr:colOff>
      <xdr:row>19</xdr:row>
      <xdr:rowOff>13335</xdr:rowOff>
    </xdr:from>
    <xdr:to>
      <xdr:col>13</xdr:col>
      <xdr:colOff>371475</xdr:colOff>
      <xdr:row>29</xdr:row>
      <xdr:rowOff>129540</xdr:rowOff>
    </xdr:to>
    <xdr:graphicFrame macro="">
      <xdr:nvGraphicFramePr>
        <xdr:cNvPr id="1025" name="Chart 3">
          <a:extLst>
            <a:ext uri="{FF2B5EF4-FFF2-40B4-BE49-F238E27FC236}">
              <a16:creationId xmlns:a16="http://schemas.microsoft.com/office/drawing/2014/main" id="{620896C0-F46B-4223-8EA4-60C775233F2D}"/>
            </a:ext>
            <a:ext uri="{147F2762-F138-4A5C-976F-8EAC2B608ADB}">
              <a16:predDERef xmlns:a16="http://schemas.microsoft.com/office/drawing/2014/main" pred="{6642D68C-94CE-4DBE-93B0-97678052D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</xdr:colOff>
      <xdr:row>0</xdr:row>
      <xdr:rowOff>38100</xdr:rowOff>
    </xdr:from>
    <xdr:to>
      <xdr:col>21</xdr:col>
      <xdr:colOff>361950</xdr:colOff>
      <xdr:row>4</xdr:row>
      <xdr:rowOff>66675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B8C7FD8-8952-4380-1296-04BDA037FF65}"/>
            </a:ext>
            <a:ext uri="{147F2762-F138-4A5C-976F-8EAC2B608ADB}">
              <a16:predDERef xmlns:a16="http://schemas.microsoft.com/office/drawing/2014/main" pred="{620896C0-F46B-4223-8EA4-60C775233F2D}"/>
            </a:ext>
          </a:extLst>
        </xdr:cNvPr>
        <xdr:cNvSpPr/>
      </xdr:nvSpPr>
      <xdr:spPr>
        <a:xfrm>
          <a:off x="19050" y="38100"/>
          <a:ext cx="13144500" cy="752475"/>
        </a:xfrm>
        <a:prstGeom prst="rect">
          <a:avLst/>
        </a:prstGeom>
        <a:solidFill>
          <a:schemeClr val="bg1"/>
        </a:solidFill>
        <a:ln>
          <a:solidFill>
            <a:schemeClr val="accent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19</xdr:col>
      <xdr:colOff>409575</xdr:colOff>
      <xdr:row>0</xdr:row>
      <xdr:rowOff>28575</xdr:rowOff>
    </xdr:from>
    <xdr:to>
      <xdr:col>21</xdr:col>
      <xdr:colOff>266700</xdr:colOff>
      <xdr:row>4</xdr:row>
      <xdr:rowOff>87630</xdr:rowOff>
    </xdr:to>
    <xdr:pic>
      <xdr:nvPicPr>
        <xdr:cNvPr id="332" name="Picture 7">
          <a:extLst>
            <a:ext uri="{FF2B5EF4-FFF2-40B4-BE49-F238E27FC236}">
              <a16:creationId xmlns:a16="http://schemas.microsoft.com/office/drawing/2014/main" id="{A6E081F9-1D65-43C3-7197-B4570A05BC17}"/>
            </a:ext>
            <a:ext uri="{147F2762-F138-4A5C-976F-8EAC2B608ADB}">
              <a16:predDERef xmlns:a16="http://schemas.microsoft.com/office/drawing/2014/main" pred="{0B8C7FD8-8952-4380-1296-04BDA037F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1975" y="28575"/>
          <a:ext cx="1076325" cy="782955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0</xdr:row>
      <xdr:rowOff>76200</xdr:rowOff>
    </xdr:from>
    <xdr:to>
      <xdr:col>19</xdr:col>
      <xdr:colOff>438150</xdr:colOff>
      <xdr:row>4</xdr:row>
      <xdr:rowOff>22860</xdr:rowOff>
    </xdr:to>
    <xdr:sp macro="" textlink="">
      <xdr:nvSpPr>
        <xdr:cNvPr id="690" name="TextBox 8">
          <a:extLst>
            <a:ext uri="{FF2B5EF4-FFF2-40B4-BE49-F238E27FC236}">
              <a16:creationId xmlns:a16="http://schemas.microsoft.com/office/drawing/2014/main" id="{306A7DF7-F37E-89E5-60F3-C8679DF56103}"/>
            </a:ext>
            <a:ext uri="{147F2762-F138-4A5C-976F-8EAC2B608ADB}">
              <a16:predDERef xmlns:a16="http://schemas.microsoft.com/office/drawing/2014/main" pred="{A6E081F9-1D65-43C3-7197-B4570A05BC17}"/>
            </a:ext>
          </a:extLst>
        </xdr:cNvPr>
        <xdr:cNvSpPr txBox="1"/>
      </xdr:nvSpPr>
      <xdr:spPr>
        <a:xfrm>
          <a:off x="85725" y="76200"/>
          <a:ext cx="11934825" cy="6781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2400" b="1"/>
            <a:t>DOWNTIME</a:t>
          </a:r>
          <a:r>
            <a:rPr lang="en-IN" sz="2400" b="1" baseline="0"/>
            <a:t> PERFORMANCE DASHBOARD</a:t>
          </a:r>
          <a:endParaRPr lang="en-IN" sz="1800" b="1" baseline="0"/>
        </a:p>
        <a:p>
          <a:pPr algn="l"/>
          <a:r>
            <a:rPr lang="en-IN" sz="1200" b="1" baseline="0">
              <a:solidFill>
                <a:schemeClr val="accent1"/>
              </a:solidFill>
            </a:rPr>
            <a:t> </a:t>
          </a:r>
          <a:r>
            <a:rPr lang="en-IN" sz="1200" b="1">
              <a:solidFill>
                <a:schemeClr val="accent1"/>
              </a:solidFill>
            </a:rPr>
            <a:t>How</a:t>
          </a:r>
          <a:r>
            <a:rPr lang="en-IN" sz="1200" b="1" baseline="0">
              <a:solidFill>
                <a:schemeClr val="accent1"/>
              </a:solidFill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Efficiencient</a:t>
          </a:r>
          <a:r>
            <a:rPr lang="en-IN" sz="1200" b="1">
              <a:solidFill>
                <a:schemeClr val="accent1"/>
              </a:solidFill>
            </a:rPr>
            <a:t> Machines &amp; Production Are</a:t>
          </a:r>
          <a:r>
            <a:rPr lang="en-IN" sz="1200" b="1" baseline="0">
              <a:solidFill>
                <a:schemeClr val="accent1"/>
              </a:solidFill>
            </a:rPr>
            <a:t>?                                                                                                                                           </a:t>
          </a:r>
          <a:r>
            <a:rPr lang="en-IN" sz="1200" b="1">
              <a:solidFill>
                <a:schemeClr val="accent1"/>
              </a:solidFill>
            </a:rPr>
            <a:t>MAY</a:t>
          </a:r>
          <a:r>
            <a:rPr lang="en-IN" sz="1200" b="1" baseline="0">
              <a:solidFill>
                <a:schemeClr val="accent1"/>
              </a:solidFill>
            </a:rPr>
            <a:t> </a:t>
          </a:r>
          <a:r>
            <a:rPr lang="en-IN" sz="1200" b="1">
              <a:solidFill>
                <a:schemeClr val="accent1"/>
              </a:solidFill>
            </a:rPr>
            <a:t>2026</a:t>
          </a:r>
        </a:p>
      </xdr:txBody>
    </xdr:sp>
    <xdr:clientData/>
  </xdr:twoCellAnchor>
  <xdr:twoCellAnchor>
    <xdr:from>
      <xdr:col>1</xdr:col>
      <xdr:colOff>87630</xdr:colOff>
      <xdr:row>4</xdr:row>
      <xdr:rowOff>87630</xdr:rowOff>
    </xdr:from>
    <xdr:to>
      <xdr:col>4</xdr:col>
      <xdr:colOff>182880</xdr:colOff>
      <xdr:row>7</xdr:row>
      <xdr:rowOff>121920</xdr:rowOff>
    </xdr:to>
    <xdr:sp macro="" textlink="">
      <xdr:nvSpPr>
        <xdr:cNvPr id="451" name="Rectangle 15">
          <a:extLst>
            <a:ext uri="{FF2B5EF4-FFF2-40B4-BE49-F238E27FC236}">
              <a16:creationId xmlns:a16="http://schemas.microsoft.com/office/drawing/2014/main" id="{5106A336-6058-AC33-4C00-42E57D02B36D}"/>
            </a:ext>
            <a:ext uri="{147F2762-F138-4A5C-976F-8EAC2B608ADB}">
              <a16:predDERef xmlns:a16="http://schemas.microsoft.com/office/drawing/2014/main" pred="{306A7DF7-F37E-89E5-60F3-C8679DF56103}"/>
            </a:ext>
          </a:extLst>
        </xdr:cNvPr>
        <xdr:cNvSpPr/>
      </xdr:nvSpPr>
      <xdr:spPr>
        <a:xfrm>
          <a:off x="697230" y="819150"/>
          <a:ext cx="1924050" cy="5829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DownTime Incidents</a:t>
          </a:r>
        </a:p>
      </xdr:txBody>
    </xdr:sp>
    <xdr:clientData/>
  </xdr:twoCellAnchor>
  <xdr:twoCellAnchor>
    <xdr:from>
      <xdr:col>1</xdr:col>
      <xdr:colOff>476250</xdr:colOff>
      <xdr:row>4</xdr:row>
      <xdr:rowOff>89535</xdr:rowOff>
    </xdr:from>
    <xdr:to>
      <xdr:col>3</xdr:col>
      <xdr:colOff>377190</xdr:colOff>
      <xdr:row>6</xdr:row>
      <xdr:rowOff>15240</xdr:rowOff>
    </xdr:to>
    <xdr:sp macro="" textlink="'Pivots &amp; Analysis'!$B$62">
      <xdr:nvSpPr>
        <xdr:cNvPr id="448" name="TextBox 16">
          <a:extLst>
            <a:ext uri="{FF2B5EF4-FFF2-40B4-BE49-F238E27FC236}">
              <a16:creationId xmlns:a16="http://schemas.microsoft.com/office/drawing/2014/main" id="{864DBD05-CC38-7FE6-6783-5DEC887FC93E}"/>
            </a:ext>
            <a:ext uri="{147F2762-F138-4A5C-976F-8EAC2B608ADB}">
              <a16:predDERef xmlns:a16="http://schemas.microsoft.com/office/drawing/2014/main" pred="{5106A336-6058-AC33-4C00-42E57D02B36D}"/>
            </a:ext>
          </a:extLst>
        </xdr:cNvPr>
        <xdr:cNvSpPr txBox="1"/>
      </xdr:nvSpPr>
      <xdr:spPr>
        <a:xfrm>
          <a:off x="1085850" y="813435"/>
          <a:ext cx="1120140" cy="28765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9F894CD-0B3C-4DD1-A47B-5AA12C6F75CA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50</a:t>
          </a:fld>
          <a:endParaRPr lang="en-IN" sz="2400" b="1"/>
        </a:p>
      </xdr:txBody>
    </xdr:sp>
    <xdr:clientData/>
  </xdr:twoCellAnchor>
  <xdr:twoCellAnchor>
    <xdr:from>
      <xdr:col>5</xdr:col>
      <xdr:colOff>523874</xdr:colOff>
      <xdr:row>4</xdr:row>
      <xdr:rowOff>81557</xdr:rowOff>
    </xdr:from>
    <xdr:to>
      <xdr:col>8</xdr:col>
      <xdr:colOff>601979</xdr:colOff>
      <xdr:row>7</xdr:row>
      <xdr:rowOff>129540</xdr:rowOff>
    </xdr:to>
    <xdr:sp macro="" textlink="">
      <xdr:nvSpPr>
        <xdr:cNvPr id="452" name="Rectangle 17">
          <a:extLst>
            <a:ext uri="{FF2B5EF4-FFF2-40B4-BE49-F238E27FC236}">
              <a16:creationId xmlns:a16="http://schemas.microsoft.com/office/drawing/2014/main" id="{5BE49B24-D18F-4AF6-9645-F2DD7D316BCF}"/>
            </a:ext>
            <a:ext uri="{147F2762-F138-4A5C-976F-8EAC2B608ADB}">
              <a16:predDERef xmlns:a16="http://schemas.microsoft.com/office/drawing/2014/main" pred="{864DBD05-CC38-7FE6-6783-5DEC887FC93E}"/>
            </a:ext>
          </a:extLst>
        </xdr:cNvPr>
        <xdr:cNvSpPr/>
      </xdr:nvSpPr>
      <xdr:spPr>
        <a:xfrm>
          <a:off x="3571874" y="813077"/>
          <a:ext cx="1906905" cy="596623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DownTime </a:t>
          </a:r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Rate</a:t>
          </a:r>
          <a:r>
            <a:rPr lang="en-IN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IN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230505</xdr:colOff>
      <xdr:row>4</xdr:row>
      <xdr:rowOff>85725</xdr:rowOff>
    </xdr:from>
    <xdr:to>
      <xdr:col>13</xdr:col>
      <xdr:colOff>478155</xdr:colOff>
      <xdr:row>7</xdr:row>
      <xdr:rowOff>125730</xdr:rowOff>
    </xdr:to>
    <xdr:sp macro="" textlink="">
      <xdr:nvSpPr>
        <xdr:cNvPr id="1048" name="Rectangle 18">
          <a:extLst>
            <a:ext uri="{FF2B5EF4-FFF2-40B4-BE49-F238E27FC236}">
              <a16:creationId xmlns:a16="http://schemas.microsoft.com/office/drawing/2014/main" id="{7852882E-86A2-966F-B577-B6BCA9E591C3}"/>
            </a:ext>
            <a:ext uri="{147F2762-F138-4A5C-976F-8EAC2B608ADB}">
              <a16:predDERef xmlns:a16="http://schemas.microsoft.com/office/drawing/2014/main" pred="{5BE49B24-D18F-4AF6-9645-F2DD7D316BCF}"/>
            </a:ext>
          </a:extLst>
        </xdr:cNvPr>
        <xdr:cNvSpPr/>
      </xdr:nvSpPr>
      <xdr:spPr>
        <a:xfrm>
          <a:off x="6326505" y="809625"/>
          <a:ext cx="2076450" cy="58293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IN" sz="1400" b="1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Lost</a:t>
          </a:r>
          <a:r>
            <a:rPr lang="en-IN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IN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Units </a:t>
          </a:r>
          <a:endParaRPr lang="en-IN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15</xdr:col>
      <xdr:colOff>506730</xdr:colOff>
      <xdr:row>4</xdr:row>
      <xdr:rowOff>81915</xdr:rowOff>
    </xdr:from>
    <xdr:to>
      <xdr:col>19</xdr:col>
      <xdr:colOff>281940</xdr:colOff>
      <xdr:row>7</xdr:row>
      <xdr:rowOff>137160</xdr:rowOff>
    </xdr:to>
    <xdr:sp macro="" textlink="">
      <xdr:nvSpPr>
        <xdr:cNvPr id="464" name="Rectangle 22">
          <a:extLst>
            <a:ext uri="{FF2B5EF4-FFF2-40B4-BE49-F238E27FC236}">
              <a16:creationId xmlns:a16="http://schemas.microsoft.com/office/drawing/2014/main" id="{9ED8A43A-7053-6189-6075-96499BDC90C0}"/>
            </a:ext>
            <a:ext uri="{147F2762-F138-4A5C-976F-8EAC2B608ADB}">
              <a16:predDERef xmlns:a16="http://schemas.microsoft.com/office/drawing/2014/main" pred="{7852882E-86A2-966F-B577-B6BCA9E591C3}"/>
            </a:ext>
          </a:extLst>
        </xdr:cNvPr>
        <xdr:cNvSpPr/>
      </xdr:nvSpPr>
      <xdr:spPr>
        <a:xfrm>
          <a:off x="9650730" y="813435"/>
          <a:ext cx="2213610" cy="60388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IN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</a:t>
          </a:r>
          <a:r>
            <a:rPr lang="en-IN" sz="1400" b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Hourly </a:t>
          </a:r>
          <a:r>
            <a:rPr lang="en-IN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Cost</a:t>
          </a:r>
          <a:r>
            <a:rPr lang="en-IN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IN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398145</xdr:colOff>
      <xdr:row>4</xdr:row>
      <xdr:rowOff>85725</xdr:rowOff>
    </xdr:from>
    <xdr:to>
      <xdr:col>8</xdr:col>
      <xdr:colOff>108585</xdr:colOff>
      <xdr:row>6</xdr:row>
      <xdr:rowOff>9525</xdr:rowOff>
    </xdr:to>
    <xdr:sp macro="" textlink="'Pivots &amp; Analysis'!C57">
      <xdr:nvSpPr>
        <xdr:cNvPr id="449" name="TextBox 23">
          <a:extLst>
            <a:ext uri="{FF2B5EF4-FFF2-40B4-BE49-F238E27FC236}">
              <a16:creationId xmlns:a16="http://schemas.microsoft.com/office/drawing/2014/main" id="{3C1B1207-DBC7-71C5-1E73-F2388CE9A4BE}"/>
            </a:ext>
            <a:ext uri="{147F2762-F138-4A5C-976F-8EAC2B608ADB}">
              <a16:predDERef xmlns:a16="http://schemas.microsoft.com/office/drawing/2014/main" pred="{9ED8A43A-7053-6189-6075-96499BDC90C0}"/>
            </a:ext>
          </a:extLst>
        </xdr:cNvPr>
        <xdr:cNvSpPr txBox="1"/>
      </xdr:nvSpPr>
      <xdr:spPr>
        <a:xfrm>
          <a:off x="4055745" y="809625"/>
          <a:ext cx="92964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BC181C3-E0BF-4E86-98BC-46DEB5C320BB}" type="TxLink">
            <a:rPr lang="en-US" sz="2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20%</a:t>
          </a:fld>
          <a:endParaRPr lang="en-IN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74295</xdr:colOff>
      <xdr:row>4</xdr:row>
      <xdr:rowOff>85725</xdr:rowOff>
    </xdr:from>
    <xdr:to>
      <xdr:col>13</xdr:col>
      <xdr:colOff>17145</xdr:colOff>
      <xdr:row>6</xdr:row>
      <xdr:rowOff>38100</xdr:rowOff>
    </xdr:to>
    <xdr:sp macro="" textlink="'Pivots &amp; Analysis'!C62">
      <xdr:nvSpPr>
        <xdr:cNvPr id="459" name="TextBox 29">
          <a:extLst>
            <a:ext uri="{FF2B5EF4-FFF2-40B4-BE49-F238E27FC236}">
              <a16:creationId xmlns:a16="http://schemas.microsoft.com/office/drawing/2014/main" id="{D45476AE-7009-F443-CC02-108C9C17890E}"/>
            </a:ext>
            <a:ext uri="{147F2762-F138-4A5C-976F-8EAC2B608ADB}">
              <a16:predDERef xmlns:a16="http://schemas.microsoft.com/office/drawing/2014/main" pred="{3C1B1207-DBC7-71C5-1E73-F2388CE9A4BE}"/>
            </a:ext>
          </a:extLst>
        </xdr:cNvPr>
        <xdr:cNvSpPr txBox="1"/>
      </xdr:nvSpPr>
      <xdr:spPr>
        <a:xfrm>
          <a:off x="6779895" y="817245"/>
          <a:ext cx="1162050" cy="31813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BED8922-D347-4E06-ADD5-0BC58EFFCCAA}" type="TxLink">
            <a:rPr lang="en-US" sz="2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2140</a:t>
          </a:fld>
          <a:endParaRPr lang="en-IN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55245</xdr:colOff>
      <xdr:row>4</xdr:row>
      <xdr:rowOff>87630</xdr:rowOff>
    </xdr:from>
    <xdr:to>
      <xdr:col>18</xdr:col>
      <xdr:colOff>588645</xdr:colOff>
      <xdr:row>6</xdr:row>
      <xdr:rowOff>43815</xdr:rowOff>
    </xdr:to>
    <xdr:sp macro="" textlink="'Pivots &amp; Analysis'!A62">
      <xdr:nvSpPr>
        <xdr:cNvPr id="578" name="TextBox 30">
          <a:extLst>
            <a:ext uri="{FF2B5EF4-FFF2-40B4-BE49-F238E27FC236}">
              <a16:creationId xmlns:a16="http://schemas.microsoft.com/office/drawing/2014/main" id="{6FD0A30A-DE4C-BC70-1A38-0EAF205DC01C}"/>
            </a:ext>
            <a:ext uri="{147F2762-F138-4A5C-976F-8EAC2B608ADB}">
              <a16:predDERef xmlns:a16="http://schemas.microsoft.com/office/drawing/2014/main" pred="{D45476AE-7009-F443-CC02-108C9C17890E}"/>
            </a:ext>
          </a:extLst>
        </xdr:cNvPr>
        <xdr:cNvSpPr txBox="1"/>
      </xdr:nvSpPr>
      <xdr:spPr>
        <a:xfrm>
          <a:off x="9808845" y="811530"/>
          <a:ext cx="1752600" cy="31813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96F5589-9816-44F2-A4CF-A35C71E131BB}" type="TxLink">
            <a:rPr lang="en-US" sz="2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₹ 1,21,300</a:t>
          </a:fld>
          <a:endParaRPr lang="en-IN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605790</xdr:colOff>
      <xdr:row>7</xdr:row>
      <xdr:rowOff>120015</xdr:rowOff>
    </xdr:from>
    <xdr:to>
      <xdr:col>21</xdr:col>
      <xdr:colOff>272415</xdr:colOff>
      <xdr:row>18</xdr:row>
      <xdr:rowOff>144780</xdr:rowOff>
    </xdr:to>
    <xdr:graphicFrame macro="">
      <xdr:nvGraphicFramePr>
        <xdr:cNvPr id="919" name="Chart 2">
          <a:extLst>
            <a:ext uri="{FF2B5EF4-FFF2-40B4-BE49-F238E27FC236}">
              <a16:creationId xmlns:a16="http://schemas.microsoft.com/office/drawing/2014/main" id="{1F8F3AB0-46CB-4BA8-AEF6-A606B839FFF0}"/>
            </a:ext>
            <a:ext uri="{147F2762-F138-4A5C-976F-8EAC2B608ADB}">
              <a16:predDERef xmlns:a16="http://schemas.microsoft.com/office/drawing/2014/main" pred="{6FD0A30A-DE4C-BC70-1A38-0EAF205DC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0:31.9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0 409 8192,'158'0'12632,"0"1"-7695,78 0-5694,315-7-13484,158-9 11757,-510 11 2397,113-6 87,135-1 0,-304 13 1877,196-4-958,-245-9-1868,-34 4 3620,0 3 8806,674 5-9450,-540-11-1973,-36 1-668,172 4 1876,443 6-12126,-521 0 12159,0 0 6550,839-1-6823,-1054-2-898,44-7 1,-43 4-1648,41-1 0,57 8-8152,-16-1 4206,-3-4 5388,37-18 81,-105 13 0,0 1 0,54 0 0,7 8 231,198 0 13740,-175-2-12791,-46 1-5414,0 0-5588,1186 0 8496,-1131-11 1116,-93 5 1553,50 0 0,-90 6-1463,1-1 0,-1-1 1,1 0-1,-1 0 1,0-1-1,17-7 1,-14 5 1690,-1 1 1,1 1-1,19-5 1,2 2 2154,1-1-1,44-17 1,-30 8-4806,-22 10 1080,1 0 0,38-2 0,32-6 0,-89 12-253,264-56-186,-136 39-2628,3 12-9029,-64 6 11012,78-10 1,-42 1 2990,152 10 13177,-122 2-14053,227-2-1031,-350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0:38.87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 18483,'16701'0'0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0:48.7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16510,'43'9663'0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0:59.2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73 147 8192,'1'17'15285,"0"-1"-11341,-2 9-4558,-4-4-1412,-3-12 3459,7-9-1432,0 0 0,1 0 0,-1 1 1,0-1-1,0 0 0,1 0 1,-1 0-1,0 0 0,0 0 1,0-1-1,1 1 0,-1 0 0,0 0 1,0 0-1,1-1 0,-1 1 1,0 0-1,1-1 0,-1 1 0,0 0 1,1-1-1,-1 1 0,0-1 1,1 0-1,-1 1 0,1-1 1,-1 1-1,1-1 0,-1 0 0,1 1 1,0-1-1,-1 0 0,1 0 1,-14-26-606,10 15-1074,1 0-1,0 0 0,1-1 1,0 1-1,1 0 0,1-20 1,0 14-226,-1 1 0,-4-21 0,1 19 1904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1:04.3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 1 20599,'0'9579'0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1:34.24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1 107 14468,'16292'-107'0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1:37.00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833 0 23613,'-833'65'0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1:56.24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34 22091,'16827'0'0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2:17.05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24861,'0'1049'0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2:19.66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8192,'0'0'0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2:34.4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8192,'20'26'15266,"-8"-4"-11420,-3 2-3500,5 27-3086,-8-19 4044,-3-1-1304,0 41 0,-4-54 0,1-1 0,1 1 0,0 0 0,2 0 0,0 0 0,1-1 0,11 29 0,-14-42 1,1-1 0,1 0 1,-1 0-1,0 0 1,1-1-1,-1 1 1,1-1-1,0 1 1,0-1-1,0 0 0,0 0 1,0 0-1,0 0 1,1-1-1,-1 1 1,0-1-1,1 0 1,0 0-1,-1 0 0,1 0 1,3-1-1,12 3-80,0-2 0,36-2 0,-31 0-275,77-2-7012,-77 3 6452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2:37.8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361 273 21591,'1'0'0,"0"0"0,2 1 0,-1-1 0,1 1 0,1-1 0,0 1 0,0-1 0,2 0 0,0-1 0,0 0 0,0 0 0,2 0 0,-1-1 0,0 0 0,1-1 0,0-1 0,0 0 0,0 0 0,0 0 0,0-1 0,-1-2 0,1 1 0,-1 0 0,1-2 0,-2 1 0,0-1 0,0-1 0,-1 1 0,0-1 0,-1 0 0,-1-1 0,-1 1 0,0-1 0,-1 1 0,-1-1 0,-1 0 0,-2 1 0,1-1 0,-1 1 0,-2 1 0,-1-1 0,1 1 0,-2 1 0,-1-1 0,-1 1 0,-1 2 0,0-1 0,-1 1 0,-1 0 0,0 1 0,0 1 0,-2 1 0,0 0 0,0 1 0,0 1 0,-2 0 0,1 0 0,0 1 0,0 1 0,-1 0 0,1 1 0,-1 0 0,1 1 0,0 0 0,1 1 0,-2-1 0,3 0 0,-2 2 0,3-1 0,-2 0 0,2 1 0,0-1 0,0 0 0,2 1 0,-1-1 0,1 0 0,1-1 0,0 1 0,1-1 0,1 0 0,0 0 0,1-1 0,0 1 0,1-2 0,0 1 0,1-1 0,0-1 0,1 1 0,1 0 0,-1-2 0,1 1 0,0-1 0,1 0 0,0 1 0,0-1 0,0 0 0,2 0 0,0 1 0,0 0 0,-1-1 0,1 2 0,0 0 0,0 0 0,0 1 0,0 0 0,1 1 0,-1 0 0,1 2 0,0 0 0,-1-1 0,1 2 0,0 1 0,1 0 0,-1 0 0,1 2 0,0 0 0,1 0 0,0 1 0,-1 0 0,2 1 0,-1 1 0,1-1 0,1 2 0,-1-1 0,2 0 0,-1 1 0,1-1 0,1 1 0,-1 0 0,1-2 0,1 2 0,-1-1 0,2 0 0,0-1 0,-1 0 0,2-1 0,-1-1 0,0 0 0,2-1 0,-1-1 0,0 0 0,0 0 0,0-3 0,1 1 0,-1-2 0,0-1 0,0-1 0,0 0 0,0-1 0,-1-2 0,1 0 0,-2-1 0,1-1 0,-1-1 0,-1 0 0,0-2 0,0 0 0,-2-1 0,0 0 0,0-1 0,0-1 0,-2 0 0,0 1 0,-1-2 0,-1 0 0,1 0 0,-3 0 0,1 0 0,-1 0 0,0 0 0,-1 0 0,0 1 0,-1-1 0,0 1 0,-1 1 0,0-1 0,0 1 0,-1 1 0,1-1 0,-1 2 0,0 0 0,0 1 0,1 0 0,-1 0 0,0 2 0,0-1 0,1 2 0,1-1 0,-1 2 0,1-1 0,0 1 0,1 0 0,0 1 0,1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2:47.0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8192,'0'0'0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2:58.48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24575,'0'0'-8191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3:15.59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24575,'0'0'-8191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3:46.50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361 3 24575,'-39'-1'0,"22"0"0,-1 0 0,1 2 0,-21 3 0,33-4 0,0 2 0,0-1 0,0 0 0,1 1 0,-1 0 0,0 0 0,1 1 0,-1-1 0,1 1 0,-1 0 0,1 0 0,0 1 0,1-1 0,-1 1 0,-3 4 0,-19 28 0,-31 59 0,23-36 0,29-51 0,0 1 0,0-1 0,0 1 0,1 0 0,1 1 0,0-1 0,0 1 0,1-1 0,0 1 0,0 0 0,1 0 0,1 0 0,-1 0 0,2 0 0,-1 0 0,1 0 0,1 0 0,0-1 0,0 1 0,1 0 0,0-1 0,5 10 0,-2-7 0,1 0 0,0 0 0,1-1 0,0 0 0,0 0 0,2-1 0,-1 0 0,17 12 0,-23-19 0,-1-1 0,1 0 0,0-1 0,0 1 0,0-1 0,0 1 0,0-1 0,0 0 0,0 0 0,0 0 0,1 0 0,-1-1 0,0 1 0,0-1 0,1 0 0,-1 0 0,0 0 0,1 0 0,-1-1 0,0 1 0,1-1 0,-1 0 0,0 0 0,0 0 0,0 0 0,0-1 0,0 1 0,0-1 0,0 0 0,0 0 0,-1 0 0,1 0 0,-1 0 0,1-1 0,-1 1 0,0-1 0,0 1 0,0-1 0,2-4 0,1-2 0,0 1 0,-1-1 0,0 0 0,6-17 0,-8 17 0,1 1 0,0 0 0,1-1 0,0 1 0,0 1 0,9-13 0,-2 7 0,-2-1 0,1 0 0,-2-1 0,0 0 0,9-24 0,-16 37 0,-1 0 0,1 0 0,0-1 0,-1 1 0,1 0 0,-1-1 0,0 1 0,0 0 0,0-1 0,-1-3 0,1 6 0,0-1 0,0 0 0,0 0 0,-1 0 0,1 1 0,0-1 0,-1 0 0,1 1 0,-1-1 0,1 0 0,-1 1 0,1-1 0,-1 0 0,0 1 0,1-1 0,-1 1 0,1-1 0,-1 1 0,0-1 0,0 1 0,0-1 0,-2 1 0,1-1 0,-1 1 0,0 0 0,1 0 0,-1 0 0,1 0 0,-1 0 0,0 1 0,1-1 0,-1 1 0,1 0 0,-1-1 0,1 1 0,-1 0 0,1 1 0,-5 2 0,6-4 0,-4 2 0,1 1 0,-1-1 0,1 1 0,-1 0 0,1 0 0,0 1 0,0-1 0,0 1 0,1 0 0,-5 6 0,8-10 0,0 0 0,0 0 0,1 1 0,-1-1 0,0 0 0,0 1 0,0-1 0,0 0 0,0 0 0,1 1 0,-1-1 0,0 0 0,0 0 0,1 1 0,-1-1 0,0 0 0,0 0 0,1 0 0,-1 0 0,0 1 0,0-1 0,1 0 0,-1 0 0,0 0 0,1 0 0,-1 0 0,0 0 0,1 0 0,-1 0 0,0 0 0,0 0 0,1 0 0,-1 0 0,0 0 0,1 0 0,0 0 0,14 0 0,-13 0 0,11-2-8,1 0 0,-1-1-1,0-1 1,0 0 0,0-1-1,23-11 1,2-1-1299,-19 9-5519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3:58.0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69 1 24575,'3'5'0,"1"1"0,-1-1 0,-1 1 0,1 0 0,-1 0 0,0 0 0,0 0 0,-1 0 0,0 1 0,1 10 0,3 11 0,1 4 0,-1 0 0,-2-1 0,-1 47 0,-2-42 0,1 1 0,8 42 0,0-15 0,-8-48 0,1 0 0,1 0 0,0 0 0,1 0 0,10 26 0,-8-30 0,-1 0 0,1-1 0,1 0 0,0 0 0,1 0 0,12 12 0,-18-21 0,0 0 0,1 1 0,-1-1 0,1 0 0,0-1 0,-1 1 0,1 0 0,0-1 0,0 1 0,0-1 0,0 0 0,1 0 0,-1 0 0,0-1 0,0 1 0,1-1 0,-1 0 0,0 0 0,0 0 0,1 0 0,-1 0 0,0-1 0,0 1 0,1-1 0,-1 0 0,0 0 0,0 0 0,0-1 0,0 1 0,4-3 0,18-13 0,0-1 0,37-35 0,-33 28 0,70-77 0,-31 30 0,-55 56 0,0 1 0,12-20 0,13-15 0,-29 40 0,10-11 0,-1-1 0,-1 0 0,-1-2 0,14-26 0,-28 48 0,-1-1 0,0 1 0,0 0 0,0 0 0,0-1 0,-1 1 0,1 0 0,-1-1 0,1 1 0,-1-1 0,0 1 0,0-1 0,0 1 0,0-1 0,0 1 0,-1-1 0,1 1 0,-1 0 0,-1-5 0,0 5 0,1 0 0,-1 0 0,1 0 0,-1 0 0,0 1 0,0-1 0,0 1 0,0-1 0,0 1 0,0 0 0,0-1 0,0 1 0,-1 0 0,1 0 0,0 1 0,-4-2 0,-10-1 0,0 1 0,-1 1 0,1 0 0,-29 2 0,32 0 0,-338 1 0,209-2 0,131-1 0,-1-1 0,1 0 0,0 0 0,0-1 0,-14-6 0,15 6 0,1 0 0,0 0 0,-1 0 0,1 2 0,-1-1 0,-17 0 0,27 2 0,-1 0 0,1 0 0,0 0 0,-1 0 0,1 0 0,-1 0 0,1 0 0,0 0 0,-1 0 0,1 0 0,0 0 0,-1 1 0,1-1 0,0 0 0,-1 0 0,1 0 0,0 0 0,0 1 0,-1-1 0,1 0 0,0 0 0,-1 1 0,1-1 0,0 0 0,0 0 0,0 1 0,-1-1 0,1 0 0,0 1 0,0-1 0,0 0 0,0 1 0,0-1 0,0 0 0,-1 1 0,1 0 0,6 14 0,17 13 0,-2-8 0,44 30 0,-17-11 0,-35-27 0,0-1 0,22 14 0,2-2 0,50 40 0,-82-60-83,1 0 0,0 0 0,0 0 0,1-1-1,-1 0 1,1 0 0,-1 0 0,1-1 0,-1 0-1,1 0 1,0-1 0,-1 0 0,14-1 0,-17 1-118,15 0-6625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4:03.70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87 175 24575,'76'1'0,"84"-3"0,-157 2 0,0 0 0,0-1 0,0 0 0,1 0 0,-1 0 0,0 0 0,-1 0 0,1 0 0,0-1 0,0 1 0,0-1 0,-1 0 0,1 0 0,-1 0 0,1 0 0,-1 0 0,0-1 0,0 1 0,0-1 0,0 1 0,-1-1 0,1 0 0,-1 0 0,1 0 0,-1 0 0,0 0 0,0 0 0,0 0 0,-1 0 0,1 0 0,-1 0 0,1 0 0,-1-1 0,0 1 0,-1-4 0,1 3 0,0 0 0,-1 0 0,1 1 0,-1-1 0,0 0 0,0 0 0,0 1 0,-1-1 0,1 0 0,-1 1 0,0-1 0,0 1 0,0 0 0,0 0 0,-1 0 0,1 0 0,-1 0 0,0 0 0,0 1 0,0-1 0,0 1 0,0 0 0,0 0 0,-1 0 0,1 0 0,-1 1 0,1-1 0,-1 1 0,-4-1 0,-19-1 0,0 1 0,-52 4 0,20 0 0,55-2 0,0 0 0,0 0 0,0 0 0,-1 1 0,1-1 0,0 1 0,0 0 0,1 0 0,-1 1 0,0-1 0,0 1 0,0 0 0,1 0 0,-1 0 0,-3 3 0,5-3 0,0 1 0,-1 0 0,1 1 0,0-1 0,0 0 0,1 0 0,-1 1 0,1-1 0,0 1 0,0 0 0,0-1 0,0 1 0,1 0 0,-1-1 0,1 1 0,0 6 0,-18 142 0,16-128 0,-7 36 0,5-43 0,1 1 0,1 0 0,1 0 0,1 20 0,0-37 0,0 1 0,0 0 0,0-1 0,1 1 0,-1 0 0,1-1 0,-1 1 0,1-1 0,0 1 0,-1-1 0,1 1 0,0-1 0,0 1 0,0-1 0,0 0 0,0 1 0,1-1 0,-1 0 0,0 0 0,1 0 0,2 2 0,-1-2 0,0 1 0,1-1 0,-1 0 0,0 0 0,1-1 0,-1 1 0,1-1 0,-1 0 0,1 1 0,4-2 0,7 0 0,0-2 0,-1 0 0,28-8 0,109-49-250,-115 44-865</inkml:trace>
  <inkml:trace contextRef="#ctx0" brushRef="#br0" timeOffset="1610.58">771 4 24575,'3'0'0,"0"0"0,0 1 0,1-1 0,-1 1 0,0 0 0,0 0 0,0 0 0,0 0 0,0 0 0,0 1 0,0-1 0,0 1 0,0 0 0,-1 0 0,3 2 0,0 1 0,0 0 0,-1 0 0,0 0 0,0 1 0,0-1 0,5 13 0,-1 0 0,-1 1 0,-1 1 0,7 37 0,-7-28 0,3 19 0,-2-1 0,2 68 0,-11-35 0,4 82 0,10-111-1365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4:09.2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24575,'1'2'0,"-1"-1"0,0 0 0,0 1 0,0-1 0,1 0 0,-1 1 0,1-1 0,-1 0 0,1 1 0,-1-1 0,1 0 0,0 0 0,0 0 0,0 0 0,-1 0 0,1 0 0,0 0 0,0 0 0,1 0 0,-1 0 0,0 0 0,0 0 0,2 0 0,35 13 0,-15-7 0,-6 1 0,0 1 0,-1 2 0,0-1 0,-1 2 0,0 0 0,-1 1 0,0 0 0,-1 1 0,0 0 0,20 32 0,-31-42 0,1 0 0,-1 1 0,-1-1 0,1 1 0,-1-1 0,0 1 0,0 0 0,0 0 0,0-1 0,-1 1 0,0 0 0,0 0 0,0 0 0,-1 0 0,1-1 0,-1 1 0,-3 8 0,-3 8 0,-1 0 0,-17 32 0,9-21 0,15-30 0,0 1 0,0-1 0,-1 0 0,1 0 0,-1 0 0,1 0 0,-1 0 0,0 0 0,0 0 0,0-1 0,0 1 0,0-1 0,0 1 0,0-1 0,0 0 0,-1 0 0,1 0 0,-5 2 0,-1-2 0,-1 1 0,0-1 0,1 0 0,-12-1 0,15-1 0,1 1 0,-1 0 0,0 0 0,1 0 0,-1 1 0,0-1 0,1 1 0,-1 1 0,0-1 0,1 0 0,0 1 0,-1 0 0,-6 4 0,10-5 0,1 0 0,-1 0 0,0 0 0,1-1 0,-1 1 0,1 0 0,-1 0 0,1 0 0,-1 0 0,1 0 0,0 0 0,0 0 0,-1 0 0,1 0 0,0 1 0,0-1 0,0 0 0,0 0 0,0 0 0,1 0 0,-1 0 0,0 0 0,0 0 0,1 0 0,-1 0 0,0 0 0,1 0 0,-1 0 0,1 0 0,-1 0 0,1 0 0,0-1 0,-1 1 0,1 0 0,1 1 0,1 2 0,1 0 0,0 0 0,1 0 0,-1 0 0,6 3 0,5 1 0,1-1 0,0-1 0,1 0 0,0-2 0,-1 1 0,1-2 0,18 1 0,-14 0 0,32 3 0,-26-4 0,1 2 0,38 11 0,-22-4-1365,-26-9-5461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4:39.50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17488,'17013'0'0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3:55.59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8192,'0'0'0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4:14.65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17280,'0'2589'0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4:27.77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26 87 8192,'-2'46'15811,"-2"-12"-12265,-1 1-3673,-3 24-2445,5-19 3936,0 237-1316,6-159-2893,-1-97 1928,1 0 0,0-1-1,2 1 1,13 38 0,10 9 1150,5-2 6003,-31-62-6189,1 0 1,0 1 0,0-1-1,0-1 1,0 1-1,0 0 1,1-1 0,0 0-1,0 0 1,0 0 0,0 0-1,0 0 1,0-1-1,1 0 1,-1 0 0,1 0-1,0-1 1,-1 1-1,1-1 1,6 1 0,9 0-89,0-1 0,1 0 1,34-5-1,-6 1 118,-46 4-77,0-1 0,1-1 0,-1 1 0,0 0 0,0-1 0,0 1 0,0-1 0,0 0 0,0 0 0,0 0 0,0-1 0,0 1 0,-1-1 0,5-2 0,-5 2 0,0-1 0,-1 1 0,1 0 0,-1-1 0,1 1 0,-1-1 0,0 1 0,0-1 0,0 0 0,0 0 0,0 1 0,0-1 0,-1 0 0,0 0 0,1 0 0,-1-3 0,1-30-1288,-5-56 0,-7 28-4291,-8 4-3279,18 57 8760,-9-22-130,-1 0 0,-1 1 1,-23-35-1,11 24 228,10 13 0,-2 1 0,-20-22 0,28 34 0,1 0 0,0 0 0,0-1 0,0 0 0,2 0 0,-1-1 0,1 0 0,1 0 0,-1 0 0,2 0 0,-3-14 0,5 20 241,-1-1-1,0 1 1,0-1 0,0 1 0,0 0 0,-1 0-1,-5-7 1,-13-16 4775,18 25-4113,-5-7 71</inkml:trace>
  <inkml:trace contextRef="#ctx0" brushRef="#br0" timeOffset="2302.65">817 259 8192,'9'-3'18307,"40"-11"-18592,257-14 285,-293 27 0,-1 0 0,0 0 0,0-2 0,23-6 0,-71 4 0,9 6 10,0 1 1,0 1 0,-28 7 0,-1 5-2530,-6 10 7160,2 4-8291,-39 17-8861,47-31 8395,-4-9 4701,48-6-795,-10 0 3286,-4 5 6123,12 3-4982,9-7-3796,1 0 1,-1 0 0,0 0-1,1 0 1,-2 2 0,-2 17-1707,5-11 1245,-1 1-1,1-1 1,1 0 0,0 0 0,5 17 0,6 32-3989,10 112-9519,-17-140 13438,10 14 8557,-4-12-4951,-6-10-6503,-1-7 4139,0-1 1,0 1-1,2-1 0,0 0 0,1-1 1,0 0-1,0 0 0,12 12 0,2 5-2330,-16-20 1198,0 0 0,-1 1 0,0 0 0,5 17 0,-6-15 0,1 0 0,11 20 0,-14-31 2,0 1 1,0-1-1,0 0 1,1 0-1,-1 0 1,1 0 0,-1 0-1,1 0 1,0 0-1,-1-1 1,1 1-1,0-1 1,0 0-1,0 0 1,0 0 0,0-1-1,1 1 1,4 0-1,8 0-429,0 0-1,24-2 0,-18 0-1134,2 0 1268,198-2-16027,-128 3 17711,-92 0-1390,0 0 0,0 0 0,1 0 0,-1 0 0,0 0 0,0-1 0,1 1 0,-1-1 0,0 1 0,0-1 0,4-1 0,-9-4 0,-15-1 0,-10-2 0,1-1 0,0-2 0,1-1 0,-28-17 0,30 16 0</inkml:trace>
  <inkml:trace contextRef="#ctx0" brushRef="#br0" timeOffset="3409.99">796 815 8192,'3'0'18022,"6"0"-18022,7-4 0,9-4 0,12-5 0,5-4 0,4 1 0,1 3 0,-4 4 0,-5 4 0,-6 2 0,-4 2 0,-4 1 0,-6 0 0</inkml:trace>
  <inkml:trace contextRef="#ctx0" brushRef="#br0" timeOffset="4199.35">1608 24 8192,'10'-7'13595,"2"2"-8400,29 1-7339,-27 3 3520,554-6-5087,-347 9-1930,41-1-3263,-242-1 9138,-69 0-234,22 0 0</inkml:trace>
  <inkml:trace contextRef="#ctx0" brushRef="#br0" timeOffset="6235.15">1671 45 8192,'0'26'9954,"0"20"-2027,4 21-6711,-2-54-2037,1 1 0,7 24 1,10 4 2207,98 158-1387,-112-187 0,0 0 0,-1 1 0,-1 0 0,0 0 0,3 20 0,5 17 0,-3-23 0,-2-1 0,0 2 0,-2-1 0,3 53 0,-7-70-85,0 1 1,1 0-1,0-1 1,1 0-1,1 1 1,6 15 0,0 0-3700,-2 1-4415,-7-26 8334,0 0 0,0 0 1,0 1-1,0-1 0,0 0 1,0 0-1,0 0 0,1-1 0,-1 1 1,1 0-1,-1 0 0,1-1 1,0 1-1,0-1 0,0 1 1,-1-1-1,1 0 0,1 0 1,-1 0-1,0 0 0,0 0 1,0 0-1,0-1 0,1 1 0,-1-1 1,0 1-1,1-1 0,-1 0 1,0 0-1,1 0 0,2 0 1,10-2 1082,0 1 0,1-2 0,25-7 0,-21 5-817,445-127-15452,-433 125 15074,-1 1 1,1 2 0,0 1-1,0 1 1,58 5-1,-10-1 331,-60-2-849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4:38.01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45 8192,'12'-26'16316,"-9"24"-15949,-1 0 0,1 1-1,0-1 1,0 1 0,0 0 0,0 0-1,0 0 1,4-1 0,7 0-1078,1 0 0,-1 1 0,16 1 0,-20 0 1960,229 2-1249,-221-2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5:03.35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8192,'0'0'0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5:10.64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 8192,'6'11'16122,"9"-1"-12617,18 4-6480,-27-12 4345,32 9-1370,1-1 0,-1-3 0,55 5 0,-70-9 0,88 5 0,131-8 0,-99-2 0,306 2-4405,-357 0 8810,-71-1-4405,0-1 0,25-6 0,-23 4 0,36-3 0,-36 5 0,0-1 0,0-1 0,-1-1 0,35-13 0,-36 10 0,1 2 0,0 0 0,0 1 0,43-3 0,439 8 146,-220 1-2273,-280-1 1189,-1 0-1,1 0 1,-1 0 0,0 1-1,1-1 1,-1 1-1,0 0 1,1 0 0,-1 0-1,0 0 1,0 0 0,0 1-1,5 3 1,6 14-3885,-9 10 6742,-6 167-2631,-1-131 2779,1-1 4423,0-12 2377,0 1-8620,0 98-16782,5-87 16111,6 1 424,-6-44 0,3 40 0,-7 206 0,-1-125 0,2-124 700,1 0 0,8 33 0,-1-10-1920,3 23 11646,4-2-5211,-6-25-4840,-1 0 0,-2 1 1,3 67-1,-9-93-616,0 1 0,2 0 0,-1-1 0,1 1 0,9 21 0,-7-22 482,-1 1 0,0 0 0,-1 0 0,-1 1 0,2 16 0,6 62 18,-5-62-2361,1 41-1,-5-52-2132,1 1 1,7 28-1,-1-7 2863,1 3 1372,-5-22 0,0 1 0,1 37 0,-5 25 1278,0 116-3794,-1-98 7047,1 0 10198,0-85-14729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5:14.29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8192,'0'271'11980,"0"0"-6431,0 55-3462,0 162-3824,0 188 1880,1-662-143,0-1 0,2 1 0,0-1 0,0 0 0,1 0 0,1 0 0,6 14 0,-4-14 0,-2 1 0,0 0 0,0 0 0,-2 1 0,0-1 0,2 17 0,-3-6 0,9 36 0,-3-19 0,1 6 0,-4-27 0,-2 0 0,3 38 0,-7 348-560,-1-388-2191,-1 18-7586,8-23 7475,8-7 4706,6-6-2597,1-1-1,-1-1 1,28-4 0,14-1 731,142 0-330,81-4 383,-86 0-927,268 10 4487,-214 2-5406,-213-4 2418,43-7 1,-27 2 3283,0 3 6134,7 1-7794,-51 2-2336,0-1 1,0 0-1,-1-1 1,1 0-1,-1 0 1,13-7-1,5 0-8820,1 4 5714,8 3 4767,19 4 6389,12-1-640,-24-6-11391,41-6 1469,45 8 3960,-80 4-698,83-10 0,-104 7-684,-21 3 62,0-1-1,1 0 1,-1 0-1,14-5 1,-20 5-44,0 0-1,0 1 1,0-1-1,0 0 1,-1-1 0,1 1-1,0 0 1,-1 0-1,1-1 1,-1 1 0,1-1-1,-1 0 1,0 1-1,1-1 1,-1 0 0,0 0-1,0 1 1,0-1-1,0 0 1,-1 0 0,1 0-1,-1 0 1,1-3-1,1-35-2770,-2 22 2796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5:47.15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8192,'0'0'0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6:10.31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8192,'0'0'0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8:08.80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9 1 8192,'-3'0'11991,"-2"0"-11991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8:15.84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8192,'0'0'0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8:27.98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855 409 8192,'0'57'12901,"2"-2"-7495,2 17-5549,20 113 1,36 115 289,-7-43-604,-21-87-2589,-23-114 153,2 69 1,-11-47-3437,-1-61 5003</inkml:trace>
  <inkml:trace contextRef="#ctx0" brushRef="#br0" timeOffset="854.57">1 559 8192,'204'-4'12584,"1"-8"-7599,80-18-4905,370-88-7633,-97-13 6782,-321 75-6002,-197 46 5447</inkml:trace>
  <inkml:trace contextRef="#ctx0" brushRef="#br0" timeOffset="2617.48">1689 1072 8192,'4'-2'17046,"4"10"-14634,2 7-5152,-7-8 4044,3 12-1304,-1 1 0,3 35 0,-5-32 0,11 41 0,-6-31 0,-1 1 0,-2 0 0,-1 1 0,-2-1 0,-2 50 0,-1-54 0,3-18 0,-1-1 0,1 1 0,1 0 0,0-1 0,1 0 0,0 0 0,1 0 0,0 0 0,1-1 0,0 1 0,9 10 0,-4-5 0,-2 1 0,0 0 0,10 25 0,-12-25 0,-1-4 0</inkml:trace>
  <inkml:trace contextRef="#ctx0" brushRef="#br0" timeOffset="3221.61">1561 708 8192,'0'0'0</inkml:trace>
  <inkml:trace contextRef="#ctx0" brushRef="#br0" timeOffset="4311.64">1561 687 8192,'0'-3'18022,"0"-2"-18022</inkml:trace>
  <inkml:trace contextRef="#ctx0" brushRef="#br0" timeOffset="4549.72">1561 666 8192</inkml:trace>
  <inkml:trace contextRef="#ctx0" brushRef="#br0" timeOffset="5984.8">2181 965 8192,'21'8'16041,"-3"12"-12455,8 29-6594,-22-39 4411,22 44-1403,-3 1 0,-2 1 0,-3 1 0,13 68 0,-17-46 24,26 81 0,-4-61-2869,-28-77 3641,2 30-6680,-6-28 5988,1 0 6118,0-9-4663</inkml:trace>
  <inkml:trace contextRef="#ctx0" brushRef="#br0" timeOffset="7316.78">2288 922 8192,'14'3'13515,"-1"4"-8291,24 27-7286,-26-22 3407,19 15-1345,54 35 0,-13-10 0,-38-28-815,51 27 1,-75-46-33,24 13 48,26 16-2899,-1 4-4780,-28-17 3600,-23-17 6415,-1 0 0,1 0-1,-1-1 1,15 4 0,-17-6-676,-1 0 0,1 0 0,0-1 1,-1 0-1,1 0 0,-1 0 0,1 0 0,0 0 1,-1-1-1,1 1 0,5-3 0,-5 2-884,0-1-1,-1 0 0,1 0 1,0 0-1,0 0 0,5-6 1,28-27-2198,-1-2 0,-3-1 0,-1-2 0,-2-1 0,-1-2 1,40-80-1,0-20 2221,-22 47-116,-18 35 3028,-29 60-2910,0 0-1,1 0 1,-1 0-1,1 0 1,0 0-1,-1 0 1,1 0-1,0 0 1,-1 0-1,1 0 1,0 0-1,0 1 1,0-1-1,0 0 1,0 0-1,0 1 1,0-1-1,0 1 1,0-1-1,0 1 1,0-1-1,0 1 1,0 0-1,1-1 0,0 1 1,0 0 8,0 1-1,0-1 1,-1 1 0,1-1-1,0 1 1,-1 0 0,1 0-1,0 0 1,-1 0 0,1 0-1,-1 0 1,1 0 0,-1 0-1,2 3 1,5 6-114,0 0 1,0 0-1,9 19 1,-16-27 13,49 99-2394,44 149 2592,-90-237-208,92 304 100,-64-203 0,-28-96 0</inkml:trace>
  <inkml:trace contextRef="#ctx0" brushRef="#br0" timeOffset="8748.62">4213 473 8192,'7'-16'15705,"10"5"-11803,27 0-6925,-31 9 4461,516-89-3974,-360 65 2101,725-122-6639,-684 112 1548,303-66 3075,-474 90 2451,-38 12 0,-1 0 0,0 0 0,1-1 0,-1 1 0,1 0 0,-1 0 0,1 0 0,-1 0 0,1 0 0,-1 0 0,0-1 0,1 1 0,-1 0 0,1 0 0,-1-1 0,0 1 0,1 0 0,-1-1 0,0 1 0,1 0 0,-1-1 0,0 1 0,1 0 0,-1-1 0,0 1 0,0-1 0,0 1 0,1 0 0,-1-1 0,0 1 0,0-1 0,0 1 0,0-1 0,-15-4 0,-26 3 0,-648 89 0,473-52 0,77-11 0,-179 22 0,167-39 2550,-77-9-5106,55-1 2562,-147 3-936,187 0 5093,66 0 1565,1 0 3333,58 0-9061,1 1 0,0 0 0,0 0 0,-1 0 0,1 1 0,0 0 0,0 0 0,1 1 0,-1 0 0,0 0 0,1 1 0,-10 6 0,-1 4 0,1 0 0,-28 32 0,-15 39 0,55-80 0,-1 0 0,1 1 0,0-1 0,1 1 0,-1 0 0,1 1 0,1-1 0,-5 13 0,3-2 0</inkml:trace>
  <inkml:trace contextRef="#ctx0" brushRef="#br0" timeOffset="10727.39">4148 473 8192,'2'38'10695,"5"0"-5174,5 7-2516,9 21-3230,7 21-2150,-16-29 3776,-1 30-1401,-2-4 0,33 129 0,-26-156-3325,13 87 0,-25-100 4981,-3 2 3338,-1-38-4994,0 1 0,1 0 0,0-1 0,1 1 0,-1 0 0,2-1 0,-1 0 0,1 1 0,0-1 0,1 0 0,0 0 0,0-1 0,9 12 0,-12-18 0,1 1 0,0-1 0,0 1 0,0-1 0,-1 0 0,2 0 0,-1 0 0,0 0 0,0 0 0,0-1 0,0 1 0,0-1 0,1 1 0,-1-1 0,0 0 0,0 0 0,1 0 0,-1 0 0,0 0 0,1 0 0,-1 0 0,0-1 0,0 0 0,0 1 0,3-2 0,7-2 0,0-1 0,0-1 0,12-7 0,-17 9 0,37-20 0,0 2 0,2 2 0,0 2 0,1 1 0,82-16 0,-49 16-2394,40-15-5952,16-5 2274,-77 24 5669,0 2-1,79-3 1,-118 13 403</inkml:trace>
  <inkml:trace contextRef="#ctx0" brushRef="#br0" timeOffset="11804.37">4469 1051 8192,'-8'-6'19332,"16"1"-21978,-3 3 3982,255-34-1336,-85 15 0,-76 6 0,23-1 0,229-63 0,-330 73 0,-4 1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8:43.89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1353 8192,'4'-1'1442,"0"1"0,0 0 0,-1-1 0,1 1 0,0-1 0,0 0 0,-1-1 0,1 1 1,3-2-1,-2 0-754,-1 1 0,0-1 0,0 0 0,0-1 0,0 1 0,4-5 0,2-5-1171,-1-1 0,0 0 0,11-21 1,13-22 1198,18-23-647,-35 52-222,20-26 0,-29 44-855,2 0-1,0 1 1,11-10 0,39-23-8765,34-8 6096,-8 5 3375,42-19 302,-119 60 0,45-27 464,-36 18 3370,-1-1 1,-1 0 0,0-1-1,26-34 1,-13 7-5450,-4-12 1615,-21 44 0,1 0 0,0 0 0,1 1 0,0 0 0,9-14 0,-8 14 12,0 0 1,-1 0-1,8-19 1,5-10-623,-11 27-2424,0 0 0,1 0-1,10-11 1,33-25-1845,-22 26 4656,60-31 0,-23 23 223,6-3 0,-61 27-35,-1 1 1,1 0-1,0 0 0,0 1 1,0 1-1,23-3 1,-23 4 468,1 0 0,-1-1 0,1-1 0,-1 0 0,0 0 0,21-11 0,-6 1-1051,34-8 10763,-38 15-11314,-16 4-359,-1 0-1,1-1 0,-1 0 0,1 1 0,6-6 1,2-4 480,-6 2 488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8:45.44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 25087,'492'0'0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8:47.64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23 0 8192,'1'42'13464,"-1"23"-7347,-7 41-9074,0-61 4355,2-14-1398,2 0 0,1 56 0,3-69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49:36.25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 21086,'2950'0'0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0:40.31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8 0 17109,'0'3080'0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1:17.82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177 628 8192,'-25'-1'7619,"-41"3"2101,60-2-9652,1 1 0,-1 0 0,1 0 1,0 1-1,0-1 0,0 1 1,0 0-1,0 1 0,-7 4 1,9-5-69,1 0 0,0 0 0,0 1 0,0-1 0,0 1 0,0 0 0,1 0 0,-1-1 0,1 1 0,-1 0 0,1 0 0,0 0 0,0 0 0,1 1 0,-1-1 0,1 0 0,-1 4 0,0 10 0,1 0 0,3 19 0,-2-11 0,-1 8 526,-1-23-895,1 1-1,0-1 1,1 0 0,0 1 0,0-1 0,1 0-1,0 0 1,7 18 0,-8-28 308,-1 1-1,0-1 1,0 1 0,0-1-1,0 0 1,1 1 0,-1-1-1,0 0 1,0 1 0,1-1-1,-1 0 1,0 0 0,0 1-1,1-1 1,-1 0 0,0 0-1,1 1 1,-1-1 0,1 0-1,-1 0 1,0 0 0,1 0-1,-1 1 1,0-1 0,1 0-1,-1 0 1,1 0 0,-1 0-1,0 0 1,1 0-1,-1 0 1,1 0 0,-1 0-1,0 0 1,1-1 0,-1 1-1,1 0 1,14-15-5313,7-26-2293,-21 39 7814,45-118-147,-36 92 0,-6 8 0,0-1 0,-1 0 0,-1 0 0,-1 1 0,-1-1 0,-3-32 0,0-13 0,-8-70 0,0-6 0,12 102 0,-1-49 0,0 81 0,-1-1 0,0 1 0,-1 0 0,0-1 0,0 1 0,-1 0 0,-7-14 0,1 12 0,6 20 0,5 22 0,7 53 0,-6 164 0,-5-126 0,1-69 0,2 63 0,4-92-2980,4-1 3546,0-5 5768,22 31 0,3 5 1434,-33-51-7768,1-1 0,0 1 0,-1 0 0,2 0 0,-1-1 0,0 1 0,1-1 0,-1 0 0,1 1 0,0-1 0,0-1 0,1 1 0,-1 0 0,0-1 0,1 1 0,0-1 0,-1 0 0,1-1 0,0 1 0,0 0 0,0-1 0,0 0 0,0 0 0,0 0 0,1-1 0,-1 1 0,0-1 0,0 0 0,6-1 0,10 1 0,-1-1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2:07.70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8 0 18082,'0'2676'0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2:10.91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1 0 8192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2:29.35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22 21701,'3570'-21'0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2:31.40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555 1 8192,'-94'0'12691,"-1"0"-6178,1 0-4768,0 0-4996,14 0-3561,1 0-3870,61 0 10478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2:35.55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34 20741,'4043'0'0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3:07.99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 19695,'0'2586'0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3:12.037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26 14096,'8704'0'0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3:26.03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34 16229,'8489'0'0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3:32.67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21 0 15223,'0'2524'0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3:49.63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22734,'3142'21'0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3:54.05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8192,'5'9'17389,"2"-1"-15179,6 4-3788,1 1 1579,-8-4-6,0 0 1,-1 1 0,0-1 0,0 1 0,-1 0-1,0 0 1,-1 0 0,0 1 0,-1-1 0,2 21 0,-1 10-4631,-5 64 1,-1-36-4073,4 530 8707,-4-561-239,-5 20 5659,3-32 443,-2 44 0,7 10-12006,0 0 3820,1 161 4913,-1-121-4171,0 0-7869,0-25 8924,0 125 9302,0-153-10360,0 0-5082,3-36 4233,5 15 10578,0-3 1821,-5-13-7622,-4 247-2344,2-258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3:58.3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0 130 8192,'47'0'12944,"32"0"-6333,50-6-9536,-74-1 4317,-7 1-1392,54 2 0,-56 3 0,67-10 0,82-11 0,-140 15-3434,-1 3 1,101 5 0,-55 1 3281,423-2-7719,0 0 7744,13 0 8480,-338 0 1045,-1 0-7198,-24 0-5102,-1 0-3542,51 0-2615,-354 0 11189,-67 0 5386,21 0-2140,59 0-5383,-63 0-14420,97 0 11590,28 0 3968,78-2-1131,1 0 0,-1-1 0,-1-2 0,24-7 0,39-8 0,-42 13 0,-18 2 0,-1 1 0,37-1 0,-18 6 0,-24-1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4:03.34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15652,'22'2523'0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4:52.89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8192,'0'0'0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4:55.61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0 171 22587,'3144'-170'0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04.10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1 164 8192,'0'22'10634,"2"0"-5121,0 4-2472,3 12-3190,2 13-2264,-4-16 3809,-1 20-1396,0 12 0,4 0 0,15 78 0,-12-83-768,-7 33-5160,-3-69 3703,1-1 0,2 1 0,0 0 0,11 44 1,16 17 2517,-10 12 14251,-15-30-11870,-4-39-2612,1 1-1,2 0 1,1-1 0,16 58 0,-14-62-62,5 54 0,-1-7 0,11 39 0,-16-84 0,4 56 0,-1 1 0,-1-11 0,-2 0 0,-7 93 0,0-46 0,2 371 0,0-486 0,0 0 0,0 0 0,1 0 0,0 0 0,0 1 0,0-1 0,1-1 0,0 1 0,0 0 0,3 6 0,-3-9 0,0-1 0,0 1 0,0-1 0,0 1 0,1-1 0,-1 0 0,0 0 0,1 0 0,0 0 0,-1 0 0,1-1 0,0 1 0,0-1 0,0 0 0,0 0 0,0 0 0,0 0 0,1 0 0,-1-1 0,5 1 0,99 3-487,2-7-5187,5 1-3616,127 15 6719,290 16 2571,-290-30 1177,433 1 9927,-385 0-9013,-4 1-5355,-1-1-7844,-227 1 11368,-12 0-1987,-15-1 3525,-6 0 3276,-1-2 4539,-23 2-9546,1 0-1,-1 0 1,1 0 0,-1 0 0,1 0-1,-1 0 1,1-1 0,-1 1 0,1 0-1,-1 0 1,1 0 0,-1 0-1,0 0 1,1-1 0,-1 1 0,1 0-1,-1 0 1,0-1 0,1 1 0,-1 0-1,0-1 1,1 1 0,-1 0-1,0-1 1,1 1 0,-1-1 0,0 1-1,0 0 1,0-1 0,1 1 0,-1-1-1,0 0 1,-7-14 60,-27-18-477,27 28 1375,2 1-1025,-1-1 0,1 0 0,0 0 0,0 0 0,1 0 0,0-1 0,0 0 0,0 0 0,0 0 0,1 0 0,0 0 0,0-1 0,-2-10 0,1 5 44,0 0 1,-1 0 0,-12-21 0,12 25-417,1-1 0,-1-1 0,1 1 0,1 0 0,0-1 0,0 0 0,-2-11 0,2-28-2425,-6-34-5648,-5 27 5688,1 12 2279,-13-90-1,12 57 210,8 29 377,2 0 0,2 0 0,5-55 0,-1 7-45,-2-185 3368,0 178 873,1 86-1614,0 1 0,8-28 0,-1 1 467,-5 13-4592,0-139-223,-5-227-15850,1 251 14852,0 0 6456,1-26-4493,0-1 7765,0 2 4571,0 166-11643,0 1 0,0-1 0,0 1 0,0 0 0,1-1 0,0 1 0,-1 0 0,1 0 0,0-1 0,1 1 0,1-4 0,-2 6 0,0 0 0,0 0 0,0 0 0,1 0 0,-1 0 0,0 0 0,1 0 0,-1 0 0,1 1 0,-1-1 0,1 0 0,-1 1 0,1 0 0,-1-1 0,1 1 0,-1 0 0,1 0 0,-1-1 0,1 1 0,0 0 0,-1 1 0,1-1 0,-1 0 0,1 0 0,2 2 0,5-1 365,39 9-1467,-14-3-3603,43 15 1,-43-12-1863,19 0 5215,-5-1 1395,-24-5-43,1-1 0,-1-1 0,35-3 0,-140 0 2262,-48 0-4516,109 2 2253,0 1-1,0 1 0,1 1 0,-27 8 1,-18 6 1,46-15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26.25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8192,'3'23'12843,"5"0"-7172,7 2-4608,11 12-3828,-5-10 3975,-16-20-1210,1-1 0,0 0 0,1-1 0,-1 1 0,1-1 0,0-1 0,0 1 0,1-1 0,11 5 0,-8-4 0,0 1 0,0 0 0,15 12 0,-19-12 0,-1 0 0,1-1 0,1 0 0,-1 0 0,1-1 0,0 0 0,0 0 0,0-1 0,0 0 0,1 0 0,-1-1 0,10 2 0,64 13 0,-54-10 0,0-1 0,0-1 0,42 1 0,-2-6 0,100-2 0,-111-6-1107,65-16 0,-41 7-4386,1 4-3801,-47 10 20623,0 1-5636,15 2-4208,64 4-4880,-91-2-3441,0 0 3665,23 5 4593,28 2 8544,-24-7-9458,56-2 2690,-1-1-5109,241 1-16134,-198 0 16781,-126-1 1264,1-2 0,0 0 0,39-12 0,-39 8 0,0 2 0,1 1 0,32-3 0,-8 3 1428,21-13-4422,-34 8 3368,0 2 3850,13 2 10766,29 5-14990,-68-5 0,-9 4 0,-1 1 0,1 0 0,0-1 0,0 1 0,-1-1 0,1 1 0,0 0 0,0-1 0,-1 1 0,1 0 0,0 0 0,-1-1 0,1 1 0,-1 0 0,1 0 0,0-1 0,-1 1 0,1 0 0,-1 0 0,1 0 0,0 0 0,-1-1 0,1 1 0,-1 0 0,0 0 0,-28-4 0,-1 1 0,1 1 0,-1 1 0,-47 6 0,60-4 0,-188 21-2114,-209 51 0,225-37-2011,132-26 2822,-59 13 1609,42-2-7533,47-8 5700,23-5 1664,18-3-192,-3-4 694,-1-1 0,0 0 0,0 0 1,14-3-1,8-4-1375,35-10 0,-7 0 1488,-12 5-3364,-1-2 4076,-6 1 5377,59-9-1,-37 17-3827,-36 4-3013,43-8 0,-42 4 0,41-1 0,-49 6 0,18 0 0,0-1 0,58-11 0,-66 8-10,50-2 1,-60 6 12,0-1-1,0-1 1,0-1 0,0 0-1,0-2 1,20-7 0,-24 6-3,-2 1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29.40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14464,'44'2779'0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32.57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24133,'364'3058'0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35.06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85 13104,'2586'-85'0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51.187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47 8192,'48'0'11320,"0"-3"-5754,47-4-2941,44-3-5554,-78 9 4369,32-2-3786,-32-7-5454,-19 2 1661,1 4 6053,90 5 13239,-92 0-11868,-1 0-4561,168-1-7443,-69 0 7781,-50 0 5272,1 0 4711,31 0-2899,0 0-3298,445 0-10521,-393 0 12733,0 0 8046,276 0-11106,-431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53.503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 20489,'213'3100'0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56.44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1 387 8192,'39'-1'11997,"-1"-2"-6449,8-2-3475,23-5-3828,29-4 1914,845-93-8070,-537 69 352,-91 26 5509,-150 8 1548,-146 2 529,0 0 0,0-2 0,29-8 0,-30 6 1013,0 1 1,1 1-1,35-2 1,40 6 10094,-44 1-9827,91-10 1,-26-2-1309,219 7 0,-177 6 0,-11-3-2737,40-1-2393,-63 5-2454,3 8 5511,48 1 1575,-100-13 1775,97 1-3832,-65 0 8146,-26 0 7913,-51-2-13404,58-10-1,-36 4-93,-36 5-6,29-2 0,-1-3 0,-1-1 0,44-15 0,-59 14 0,0 3 0,1 0 0,-1 1 0,39-2 0,-37 4 0,44-13 0,-51 11 0,0 1 0,1 1 0,42-3 0,-17 7 0,76 2 0,-122-2 0,-1 0 0,1 0 0,0 0 0,0 0 0,-1 1 0,1-1 0,0 0 0,-1 1 0,1-1 0,0 1 0,-1 0 0,1 0 0,-1-1 0,1 1 0,-1 0 0,1 0 0,-1 0 0,0 0 0,1 1 0,-1-1 0,0 0 0,0 1 0,0-1 0,0 0 0,0 1 0,0-1 0,-1 1 0,1 0 0,0-1 0,-1 1 0,1 0 0,-1-1 0,1 1 0,-1 0 0,0-1 0,0 1 0,0 0 0,0 0 0,0-1 0,0 1 0,0 0 0,-1-1 0,0 4 0,-1 0 0,1 0 0,-1 0 0,0 0 0,-1 0 0,1 0 0,-1-1 0,0 1 0,0-1 0,0 0 0,-1 0 0,1 0 0,-1-1 0,-6 6 0,-12 5-480,-1-1 1,1 0-1,-2-2 1,0-1-1,0 0 1,-27 5 0,31-10 1740,1 2-4914,-32 6-8621,35-10 12274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5:59.62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 8192,'0'0'0</inkml:trace>
  <inkml:trace contextRef="#ctx0" brushRef="#br0" timeOffset="505.91">87 1 8192,'0'0'0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7:13.02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8192,'0'0'0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7:17.45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240 427 8192,'-3'25'12300,"-5"-1"-6784,-7 5-3706,-11 12-3859,-3 7 2494,-10 22-445,17-32 0,2 1 0,-20 55 0,38-88-29,0 0 0,1-1 0,0 1 0,0 0 0,1 0 1,0 0-1,0 0 0,0-1 0,1 1 0,-1 0 0,2 0 1,-1-1-1,0 1 0,1 0 0,0-1 0,0 1 0,1-1 0,0 0 1,4 7-1,6 5-328,0 0 1,2-1-1,31 28 0,-23-22 1801,-17-16-1896,0 1 0,-1 0 1,0 0-1,-1 0 0,1 0 0,-1 1 0,-1 0 0,1-1 0,-1 1 0,2 11 0,9 20-60,13 35 5537,-18-45-3937,2 0-3955,1-8-5383,6-6 3516,-13-12 4555,0 0 1,1-1 0,-1 1 0,1-1 0,-1-1 0,10 3-1,6-1 3700,-1-2-1,1 0 1,22-1-1,-26-1-573,-10 1-3199,0-1 0,-1 0 0,1 0 1,-1-1-1,12-4 0,31-16-6902,-7 2-1194,-32 15 8276,0 0-1,0 0 1,-1-1 0,0-1 0,0 1 0,0-1 0,-1-1 0,0 0 0,0 0 0,-1 0 0,0-1 0,0 0 0,6-12 0,2-1 72,-1 0 0,0-2 0,-2 1 0,-1-2 0,0 1 0,8-36 0,-12 36 986,17-38 0,-18 47-1268,0 0 1,0-1-1,-1 1 0,-1-1 0,-1 0 1,2-19-1,-4-217 282,-3 118 0,2 125 0,0 1 0,-1 0 0,-1 0 0,1-1 0,-1 1 0,-1 0 0,1 0 0,-5-7 0,-3-5 0,-22-31 0,23 36 0,0 2 0,1 1 0,-2 0 0,0 0 0,0 1 0,-1 0 0,0 1 0,-1 0 0,0 1 0,-1 0 0,1 1 0,-19-9 0,-12-4 0,0 1 0,-2 2 0,0 2 0,0 3 0,-2 1 0,1 2 0,-58-4 0,97 14 624,0 0 0,0 0 1,0 1-1,0 0 0,0 0 0,0 1 1,0 0-1,0 0 0,1 1 1,-1 0-1,1 0 0,-12 8 0,-2 3 2261,0 2 1,-23 24-1,39-37-2860,-2 4-865,0 0 0,1 1 0,-1 0 0,1 0 1,1 0-1,0 1 0,0 0 0,1-1 0,-3 12 1,-2 8-3360,-6 48 0,9-28 4199,3 0 0,6 92 0,-2-127 0,0 0 0,1 0 0,1 0 0,0 0 0,1-1 0,11 21 0,-12-24 0,1 0 0,1 0 0,0-1 0,0 0 0,0 0 0,1-1 0,0 0 0,1 0 0,11 8 0,2-4 0,0-2 0,1 0 0,0-2 0,39 8 0,-37-10-11,1-2 0,-1-1 0,1-1 0,0 0 0,48-7 0,8-10 3873,-55 4 5903,-4-8-5963,-18 16-3720,0 0 0,0 1 1,0-1-1,1 1 1,0 0-1,-1 0 0,6-3 1,6 1-83</inkml:trace>
  <inkml:trace contextRef="#ctx0" brushRef="#br0" timeOffset="1014.38">1479 192 8192,'0'58'11717,"1"1"-6106,-2-1-3463,-10 133-4979,-3-110 4208,-3-1-1887,3-20 621,3 0 1,2 1-1,-1 62 0,10-102-46</inkml:trace>
  <inkml:trace contextRef="#ctx0" brushRef="#br0" timeOffset="2266.41">1223 277 8192,'81'0'12275,"3"0"-6756,20 0-3686,55 0-3860,34 0 2449,-175 0-422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7:20.96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 21257,'0'1091'0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7:23.61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1 259 8192,'2'-19'10820,"5"1"-5286,17-16-2275,-9 18-4663,32-25 0,-36 33 2621,13-12-1217,-8 5 0,2 1 0,0 1 0,23-13 0,-25 19 0,0 1 0,1 1 0,0 0 0,-1 1 0,1 1 0,1 1 0,-1 0 0,0 1 0,0 1 0,19 2 0,-29 0 3,0-1 1,0 1-1,0 1 1,-1-1-1,1 1 1,-1 0-1,0 0 0,0 1 1,0 0-1,0 0 1,-1 0-1,1 1 1,4 5-1,9 11-302,31 41-1,-50-61 291,28 35-4131,58 60 0,-71-80 2409,-2 0 0,23 35-1,-22-29-262,24 28 0,-30-41 2122,-1 0 1,0 1 0,-1 0 0,0 0-1,-1 0 1,0 1 0,-1-1-1,4 13 1,1 11 3538,6 46 0,-3-12-745,7-2-3884,-10-44 1153,-4-12 771,-1 0-1,0 0 1,0 1-1,-1-1 0,2 16 1,-5-24-919,0 0 1,0 0-1,0 0 1,0 0-1,0-1 1,0 1-1,-1 0 1,1 0-1,0 0 1,-1 0-1,0 0 1,1-1-1,-1 1 1,0 0-1,0 0 1,0-1-1,0 1 1,0-1-1,-1 1 1,1-1 0,0 0-1,-1 1 1,1-1-1,-1 0 1,1 0-1,-1 0 1,0 0-1,1 0 1,-1 0-1,0 0 1,0-1-1,1 1 1,-1-1-1,0 1 1,0-1-1,-3 1 1,-49 8-209,-1-3 0,-74 1-1,107-6-1988,1 1-1,-1 1 1,-41 12-1,42-9 208,-1-1-1,0-1 1,-41 3-1,49-7 2315,-87 4 13063,57 3-10323,-62 15-3107,38-5 0,55-12 0</inkml:trace>
  <inkml:trace contextRef="#ctx0" brushRef="#br0" timeOffset="1594.58">1390 67 8192,'-16'-4'18800,"5"3"-19680,10 1 886,0 1 1,0 0-1,1 0 0,-1-1 1,0 1-1,0 0 0,1 0 1,-1 0-1,0 0 0,1 0 1,-1 0-1,1 0 1,0 0-1,-1 0 0,1 2 1,-81 252-7,74-220-325,-3 60 0,-1 7-2381,-26 83-3554,-15 93-1942,44-223 8220,-4 37 2193,10-61 2907,1 2 5261,-1-38-10153,-3-9-360,1-4 134</inkml:trace>
  <inkml:trace contextRef="#ctx0" brushRef="#br0" timeOffset="2749.32">1134 3 8192,'11'3'17213,"-4"1"-14858,5 4-3730,3 2 1204,1-4 171,0-1 0,0-1 0,0 0 0,0-1 0,24 2 0,31 5 0,60 24 0,-86-20 0,1-2 0,0-2 0,0-3 0,92 5 0,-121-13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7:27.39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203 1 8192,'0'70'13057,"-1"9"-7395,5 38-5524,11-2-2389,6-39 3667,-14-52-1416,-1-1 0,-1 1 0,-1 0 0,-2 1 0,1 26 0,-4-5 0,-12 81 0,10-96 0,0 36 0,3-40 0,-7 55 0,-11-19 0,13-49 0,0 0 0,1 0 0,-3 28 0,6-24 0</inkml:trace>
  <inkml:trace contextRef="#ctx0" brushRef="#br0" timeOffset="2131.41">32 172 8192,'27'0'12638,"1"-1"-7176,-6-1-5478,0 1 1,0 2-1,0 0 0,25 5 1,44 32 15,-84-35 0,1 0 0,-1 1 0,0 0 0,-1 0 0,1 1 0,0 0 0,-1 0 0,0 0 0,6 8 0,22 17 0,11-1 0,-36-24 0,0 0 0,0 1 0,-1 0 0,1 0 0,-1 1 0,-1 0 0,0 1 0,0-1 0,0 1 0,6 10 0,52 100 0,-49-87 0,6 13 0,2-1 0,41 58 0,-46-77-331,7 10 539,-2-11-10657,-21-20 9870,0 0-1,-1 0 1,1 0 0,-1 0 0,0 1 0,0-1 0,0 1 0,0-1 0,-1 1 0,0-1 0,2 7 0,-1-2 374,-1 0 0,0 0 0,0 0 0,-1 1 0,-1 12 0,-10 43 5238,-5-9 6231,10-36-10580,-1 0 0,0 0 1,-2-1-1,-18 31 0,23-43-909,0-1-1,-1 0 1,1 0-1,-1 0 1,0 0-1,-1-1 1,-7 5-1,7-5-810,-1-1-1,1-1 0,0 1 1,-1-1-1,1 0 1,-1 0-1,1-1 1,-12 1-1,-40 2-5539,-1-4 3897,-1-1 5024,2-3 6152,38 1-8392,-1-2 0,1-1-1,1 0 1,-1-1 0,1-1-1,0-1 1,-27-18 0,17 10-645,-48-19 1,-37-13-8663,103 42 9202</inkml:trace>
  <inkml:trace contextRef="#ctx0" brushRef="#br0" timeOffset="3418.44">1208 44 8192,'-26'10'15350,"24"-8"-14910,1 0 0,-1 0 0,1 0 0,0 0 0,0 0 0,0 1 0,0-1-1,0 0 1,-1 5 0,0 4-1262,0 1-1,1 0 1,1 20 0,-1-10 2384,-8 78-1596,-34 143 0,5-45-2052,30-140-800,-1 86 0,8-81 2667,4 97-8221,7-93 8024,4-12-652,-9-37 1080,0 1 0,-1 0-1,2 24 1,-5-23 682,1 41-613,-10-24 14721,8-36-14735,0 0-1,-1 0 1,1 0-1,-1 0 1,1 0-1,-1 0 1,0 0-1,1 0 0,-1 0 1,0 0-1,0 0 1,0 0-1,0 0 1,1-1-1,-1 1 1,0 0-1,0-1 1,0 1-1,-1-1 1,1 1-1,0-1 1,0 1-1,0-1 0,0 0 1,0 0-1,-1 0 1,1 1-1,0-1 1,0 0-1,0 0 1,0-1-1,-1 1 1,1 0-1,0 0 1,0 0-1,0-1 1,0 1-1,0-1 0,-2 0 1,0 0-82,1-1-1,-1 1 1,0-1 0,1 1-1,-1-1 1,1 0 0,0 0-1,-1-1 1,1 1 0,0 0 0,0-1-1,0 1 1,-2-6 0,-2-8 15</inkml:trace>
  <inkml:trace contextRef="#ctx0" brushRef="#br0" timeOffset="4515.68">867 1 8192,'7'0'18022,"10"0"-18022,12 3 0,10 6 0,8 0 0,7 3 0,2 0 0,2 0 0,3-1 0,-3-2 0,-3 0 0,-8-1 0,-8-2 0,-7-1 0,-5-3 0,-7-1 0,-4 0 0,-4-2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23:04.27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86 128 24575,'2'23'0,"0"-1"0,2 0 0,1-1 0,0 1 0,11 25 0,10 44 0,-6 5 0,55 231 0,-69-299 0,4 35 0,-8-46 0,0 0 0,1 0 0,1 0 0,0 0 0,2 0 0,11 26 0,-1-7-1365,-10-20-5461</inkml:trace>
  <inkml:trace contextRef="#ctx0" brushRef="#br0" timeOffset="1496.57">0 150 24575,'76'0'0,"18"1"0,133-15 0,-90 3 0,-94 9 0,-1-2 0,79-16 0,97-47-1365,-186 60-5461</inkml:trace>
  <inkml:trace contextRef="#ctx0" brushRef="#br0" timeOffset="2692.86">0 534 24575,'70'2'0,"-38"0"0,0-1 0,0-2 0,39-6 0,-55 2 0,-1 1 0,0-2 0,23-11 0,19-8 0,-18 11-682,53-27-1</inkml:trace>
  <inkml:trace contextRef="#ctx0" brushRef="#br0" timeOffset="3905.04">919 556 24575,'3'0'0,"-1"1"0,0-1 0,0 1 0,0 0 0,0 0 0,0-1 0,0 2 0,0-1 0,-1 0 0,1 0 0,0 0 0,-1 1 0,1-1 0,0 1 0,1 3 0,23 29 0,-21-26 0,7 11 0,-1 2 0,-1 0 0,0 0 0,5 23 0,14 30 0,-15-36-1365,-9-20-5461</inkml:trace>
  <inkml:trace contextRef="#ctx0" brushRef="#br0" timeOffset="5869.74">1433 0 24575,'-1'0'0,"0"1"0,0-1 0,1 1 0,-1-1 0,0 0 0,1 1 0,-1-1 0,1 1 0,-1-1 0,1 1 0,-1 0 0,1-1 0,-1 1 0,1 0 0,-1-1 0,1 1 0,0 0 0,-1-1 0,1 1 0,0 0 0,-1 0 0,1-1 0,0 1 0,0 0 0,0 1 0,-4 24 0,3-22 0,-2 14 0,1 0 0,0 1 0,2-1 0,0 1 0,1-1 0,1 0 0,0 0 0,1 0 0,12 34 0,6 17 0,-16-50 0,1 0 0,11 24 0,-6-16 0,11 35 0,-15-39 0,1 0 0,19 39 0,-23-54 0,0 0 0,-1 0 0,0 1 0,2 12 0,-3-13 0,0 0 0,0 0 0,1 0 0,7 14 0,-8-19 0,0-1 0,0 0 0,1 1 0,-1-1 0,1 0 0,0 0 0,-1-1 0,1 1 0,0-1 0,0 1 0,0-1 0,0 0 0,0 0 0,0 0 0,0 0 0,0-1 0,1 1 0,-1-1 0,0 0 0,0 0 0,0 0 0,1 0 0,5-2 0,9 0 0,-1-1 0,32-10 0,-49 13 0,238-89-1365,-220 81-5461</inkml:trace>
  <inkml:trace contextRef="#ctx0" brushRef="#br0" timeOffset="7145.92">2246 150 24575,'1'11'0,"1"1"0,0 0 0,1-1 0,4 14 0,-1-7 0,8 26 0,21 42 0,7 17 0,42 138 0,-40-75 0,-18-90-1365</inkml:trace>
  <inkml:trace contextRef="#ctx0" brushRef="#br0" timeOffset="8184.81">2139 449 24575,'29'0'0,"0"-1"0,0 0 0,0-3 0,-1 0 0,37-11 0,-23 4 0,-31 9 0,-1 0 0,0-1 0,1-1 0,-1 1 0,0-2 0,12-6 0,-11 4-107,97-58-1151,-91 57-5568</inkml:trace>
  <inkml:trace contextRef="#ctx0" brushRef="#br0" timeOffset="101535.6">1091 1390 8192,'0'41'13233,"-1"1"-7810,0 10-4543,4 71-4870,7-52 6417,-5-44-2403,1 45 1,-6-41-469,0-14 676,0 1 0,4 24 0,-3-34-1330,1-1-1,0 1 0,1-1 0,6 14 1,9 34-11683,-15-37 12781</inkml:trace>
  <inkml:trace contextRef="#ctx0" brushRef="#br0" timeOffset="103842.09">1626 1518 8192,'-26'2'12901,"1"2"-7495,14-1-5442,0 1 0,-1 0 1,2 1-1,-1 0 0,1 1 1,-1 0-1,-17 14 1,-8 5 35,-13 12 0,37-27 0,-1 0 0,0-1 0,-1-1 0,-20 10 0,-23 14 0,7-6 0,40-22 0,-1 1 0,1 1 0,-17 11 0,12-7-1311,1-1 0,-1 0 0,-17 7 1,-28 16-2287,33-16 1353,0-1-1,-1-2 1,-34 12-1,-66 35 2041,125-59 241,1 0 0,0 0 1,0 0-1,0 0 0,0 1 0,0-1 1,0 1-1,0 0 0,0-1 1,1 1-1,-1 0 0,1 0 0,-1 0 1,-1 4-1,4-6 42,1-1 0,-1 1 0,1-1 0,-1 1 0,0-1 0,1 0 0,-1 0 0,0 1 0,1-1 0,-1 0 0,0 0 0,0 0 0,2-3 315,134-111 9247,-115 103-4293,-11 8-5231,0 0 0,0 1 0,0 0 0,1 1 0,-1 1 0,0 0 0,1 0 0,15 1 0,201 2-2262,303-1-11712,-290-1 11837,-218 0 2020</inkml:trace>
  <inkml:trace contextRef="#ctx0" brushRef="#br0" timeOffset="105339.36">2352 1347 8192,'1'44'12901,"3"0"-7495,1-8-5478,2 1 1,2-1 0,19 53 0,-10-37 71,-1 2 0,-3 0 0,12 100 0,-21-118 0,3 0 0,11 36 0,9 43 0,-20-74 0,22 73 0,-26-100 0</inkml:trace>
  <inkml:trace contextRef="#ctx0" brushRef="#br0" timeOffset="107667.59">2352 1432 8192,'6'-17'15266,"6"8"-11420,3 2-3500,18-1-3086,-15 7 4044,37-2-3262,74 5-12565,-80-1 11506,-1-1 4493,-32 1-1476,0 1 0,29 6 0,-28-4 0,1-1 0,19 1 0,-20-2 0,-1 0 0,1 2 0,-1 0 0,0 1 0,0 0 0,22 12 0,5 0 0,-33-12 0,-1-1 0,0 2 0,0-1 0,0 1 0,-1 0 0,0 1 0,0 0 0,0 0 0,12 16 0,-11-11 0,-1 0 0,0 0 0,-1 1 0,0-1 0,-1 1 0,8 25 0,-10-20 0,-2 1 0,0 0 0,0 0 0,-2 0 0,0 0 0,-2 0 0,0 0 0,-1 0 0,0 0 0,-2-1 0,-8 23 0,-10 9 609,18-42 952,0-1 0,0 1 0,-1-1 0,0 0 0,0 0 0,-8 6 0,8-8-423,0 0 1,0-1 0,-1 0-1,1-1 1,-1 1-1,0-1 1,-13 4-1,10-5-1793,0 0-1,0 0 0,-16 0 1,-231 0-2253,86-6-3536,111 1 6519,28 1-2923,0-1 0,-47-11 1,58 7 2645</inkml:trace>
  <inkml:trace contextRef="#ctx0" brushRef="#br0" timeOffset="109182.82">3635 1518 8192,'4'66'15426,"4"-18"-11661,2 0-3554,7 44-2914,-12-29 4026,-6 390-1323,1-434 0</inkml:trace>
  <inkml:trace contextRef="#ctx0" brushRef="#br0" timeOffset="110892.11">3550 2266 8192,'25'-1'12864,"1"-1"-7450,5-2-4133,15-4-3755,-4 1 3411,-16 3-1147,38-13 1,-6-3-7364,-35 12 95,-4 2 6152</inkml:trace>
  <inkml:trace contextRef="#ctx0" brushRef="#br0" timeOffset="112181.76">3400 1540 8192,'18'-2'11812,"0"-2"-6252,5-3-3335,10-5-3785,14-5 1545,-17 8 15,81-22 0,130-54 0,-209 73 0,0 2 0,40-8 0,-18 5 0,-30 7 0,42-3 0,-41 7 0</inkml:trace>
  <inkml:trace contextRef="#ctx0" brushRef="#br0" timeOffset="-63963.65">4511 1731 8192,'-13'-19'19179,"1"13"-18806,-12-3-3292,12 6 4308,-51-5-70,-34 9-13266,39 1 4553,54-2 7394,0 0 0,0 0 0,0 0 0,0 0 0,0 1 0,0 0 0,0 0 0,0 0 0,0 0 0,1 1 0,-1 0 0,0-1 0,1 1 0,-1 0 0,-3 4 0,4-4 0,1 1 0,0 0 0,0 1 0,0-1 0,0 0 0,0 0 0,1 1 0,0-1 0,-1 1 0,1 0 0,0-1 0,1 1 0,-1 0 0,1-1 0,-1 1 0,2 6 0,0 138-291,1-40 3585,-2-105-3328,0 0 0,0-1 0,0 1 0,0 0 0,1 0 0,-1-1 0,1 1-1,0 0 1,0-1 0,0 1 0,0-1 0,0 1 0,1-1 0,-1 0-1,1 1 1,-1-1 0,1 0 0,0 0 0,4 3 0,-3-2 17,1-1 1,0 0 0,0 0-1,0 0 1,0-1 0,0 1-1,0-1 1,0 0-1,0 0 1,1-1 0,6 1-1,7-1-309,1-1 1,0-1-1,-1-1 0,32-8 0,-28 5 62,79-17 1,-89 21 268,-1 1-1,0 0 1,0 1-1,0 0 1,0 1-1,22 3 1,-27-2-286,0 0 1,-1 0 0,1 1-1,-1-1 1,1 1 0,7 6-1,-5-3 944,0 1 1,0 0-1,-1 1 0,0-1 1,-1 1-1,7 10 0,-5-6 209,-1 0-1,-1 1 1,0 0 0,5 14-1,0 23-3340,-11-46 2220,4 71-5411,-12-29 22018,7-43-16246,-1-1-1,1 0 1,-1 0 0,1 0-1,-1 0 1,0-1 0,0 1-1,0 0 1,0-1 0,0 1-1,0-1 1,0 0 0,0 0-1,-1 0 1,1 0-1,-1 0 1,1 0 0,0 0-1,-1-1 1,1 1 0,-1-1-1,-3 0 1,-10 1-818,0 0 0,-24-3 0,18 0 289,-236-1-14634,177 0 15051,1-4 0,0-3 0,1-4 0,-95-29 0,154 38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7:51.83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8192,'3'18'16172,"3"6"-12570,4 21-6926,-8-26 4896,2 10-1572,0 0 0,10 32 0,-8-36 0,0 0 0,-2 0 0,2 38 0,-6-45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8:29.1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0 8192,'10'6'15496,"-1"7"-11415,3 20-7031,-9-24 4345,16 34-1395,-13-32 0,-1 0 0,0 0 0,-1 1 0,0 0 0,-1 0 0,0 0 0,1 17 0,-1 1 1842,1 0-4127,15 58-13209,-11-55 12729,-1 0 5333,-1-1 9273,1 1-8087,2 3-6126,12 48-11357,-12-56 12347,-4-9 1382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8:32.39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67 89 8192,'1'-28'15266,"2"10"-11420,2 3-3500,-4 13-541,0 1-1,1-1 0,-1 0 1,0 1-1,1-1 0,-1 1 0,1-1 1,-1 1-1,1 0 0,-1 0 0,1 0 1,0 0-1,3-2 0,24-3 1500,-21 6-1304,0 0 0,0 1 0,0 0 0,0 0 0,0 1 0,0 0 0,0 1 0,-1 0 0,1 0 0,-1 0 0,1 1 0,-1 0 0,-1 0 0,1 1 0,0 0 0,-1 0 0,0 1 0,0 0 0,-1 0 0,0 0 0,0 0 0,8 14 0,14 9 0,-23-25 0,0-1 0,0 1 0,0 0 0,-1 0 0,0 0 0,0 0 0,4 7 0,-6-10 0,-1 1 0,0-1 0,0 0 0,1 1 0,-1-1 0,0 0 0,0 1 0,0-1 0,-1 0 0,1 1 0,0-1 0,0 0 0,-1 1 0,1-1 0,-1 0 0,1 0 0,-1 1 0,0-1 0,1 0 0,-1 0 0,0 0 0,0 0 0,0 0 0,0 0 0,0 0 0,0 0 0,0 0 0,0 0 0,0-1 0,0 1 0,0 0 0,-1-1 0,1 1 0,-2 0 0,-11 6 0,0-1 0,-1 0 0,-20 5 0,1 0 0,-116 31-560,91-29-2669,47-11-692,134-5-7189,-57 5 12280,31 0 9230,-49-3-15162,53 2-1248,-68 8 5562,-19-1 2498,1 0 1,-1 1 0,17 14 0,-11-7-1537,22 16 8318,-4 5-6549,-33-32-2795,0 0 1,0 1-1,-1 0 0,1-1 1,-1 1-1,0 1 1,-1-1-1,1 0 0,-1 0 1,-1 1-1,1 0 1,-1-1-1,1 9 0,-3 9-7876,-3-2 4357,3-18 4040,0 1 1,-1-1-1,0 0 1,0 1-1,0-1 0,-1 0 1,1 0-1,-1-1 1,0 1-1,0-1 1,0 1-1,0-1 0,-1 0 1,0 0-1,1 0 1,-1 0-1,0-1 0,0 0 1,0 0-1,-6 2 1,-109 49-10,60-32 0,44-17 0,0 1 0,-26 13 0,1-3-157,35-14 1207,0 0-1,-1-1 1,1 1-1,0-1 1,0 0 0,0-1-1,0 1 1,0-1-1,-8-2 1,9 1-183,0 1 0,0-1 0,-1 0 1,2 0-1,-1 0 0,0-1 0,0 1 1,1-1-1,-1 0 0,-5-7 0,6 6-1176,0 0-1,-1-1 1,2 1-1,-1-1 1,-4-9 0,-10-35-6936,-3-3-4306,5 17 12325,3 1-774,9 18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8:17.01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259 466 8192,'-1'31'12901,"-2"-2"-7495,1-14-5447,-1 0 0,-1 0 0,0 0 1,-1 0-1,-1-1 0,-12 23 1,4-9 40,2 2 0,-14 48 0,20-57 0,4-12 0,0 0 0,-1 0 0,0 0 0,0 0 0,-1-1 0,0 0 0,-1 0 0,-7 11 0,2-3 0,0 0 0,2 1 0,0 0 0,0 1 0,2 0 0,-7 27 0,4-2 0,7-30 0,-1 0 0,0 0 0,-1 0 0,-8 19 0,12-32 0,0 0 0,-1 1 0,1-1 0,0 1 0,0-1 0,0 0 0,0 0 0,0 1 0,0-1 0,-1 0 0,1 1 0,0-1 0,0 0 0,0 1 0,-1-1 0,1 0 0,0 0 0,-1 0 0,1 1 0,0-1 0,0 0 0,-1 0 0,1 0 0,0 1 0,-1-1 0,1 0 0,0 0 0,-1 0 0,1 0 0,0 0 0,-1 0 0,1 0 0,0 0 0,-1 0 0,-5-11 0,2-21 0,3 12 0,1 0 0</inkml:trace>
  <inkml:trace contextRef="#ctx0" brushRef="#br0" timeOffset="871.01">408 510 8192,'3'0'1190,"1"0"0,-1 0 0,0 1 0,0-1 0,0 1 0,0 0 0,0 0 0,0 0 0,0 0 0,0 1 0,0-1 0,2 3 0,-1-1-604,0 0 0,0 0 0,0 1 0,-1 0 0,0 0 0,6 8 0,0 4-1320,0 0 0,-2 1-1,8 24 1,-2-7 2121,4 12-2314,12 54 1,1 4-192,-19-63-2541,-8-29 1454,0-1 0,0 0 0,7 16-1,-1-6 1598,-2 0 0,0 1-1,5 34 1,-7-36 470,-1-1 138</inkml:trace>
  <inkml:trace contextRef="#ctx0" brushRef="#br0" timeOffset="2024.14">195 958 8192,'7'-11'16239,"10"5"-12766,20 3-6464,-32 2 4292,140-1-1275,59-4-612,-74-8-3871,44-3 20,-59 12-3110,-93 5 6526</inkml:trace>
  <inkml:trace contextRef="#ctx0" brushRef="#br0" timeOffset="4322.13">1007 360 8192,'18'21'13045,"-2"3"-7675,0 8-4270,5 17-3666,-4-10 3639,-6-15-1073,10 18 0,-2 1 0,-2 1 0,21 88 0,-22-33 0,-3-17 0,39 137 0,-36-174 0,-8-24 0,0 1 0,-2 0 0,4 25 0,-7-33 0,1 0 0,0 0 0,1-1 0,0 1 0,9 14 0,-10-30 0,2-10 0,6-20 0,-9 24 0,14-34-1293,44-76 0,-11 26 525,-22 27 3737,7-22-6715,56-113 6533,-56 126-5010,-9 16 1118,29-81 4481,-37 89-5326,-12 29 2281,-1-1-1,-1 1 1,1-25 0,3-14-3063,3-65-8474,-8 65 8324,3 1 3603,1 10-721,-6 28 0</inkml:trace>
  <inkml:trace contextRef="#ctx0" brushRef="#br0" timeOffset="6969.94">2119 702 8192,'14'11'19112,"-12"-1"-18766,-5 9-3086,-2-10 4044,1-6-1304,0 0 0,0-1 0,0 1 0,0-1 0,-1 0 0,1 0 0,-10 3 0,-17 8 0,24-9 0,-2 1 0,-1 0 0,1 1 0,0 1 0,0 0 0,1 0 0,0 0 0,-8 11 0,-8 20-1890,20-29-48,0 0-1,1 0 1,1 1 0,-4 16-1,3 42-5902,7-23 9242,-4-42-1675,1 1 1,0-1-1,-1 0 1,1 1-1,0-1 0,1 0 1,-1 1-1,1-1 1,1 3-1,-1-4 552,0 0 0,-1 0-1,1 0 1,0 0 0,0 0-1,0 0 1,0 0 0,1-1-1,3 3 1,2-1 1795,1 0-1,-1-1 0,0 0 1,1 0-1,16 1 1,21 4 3473,-42-5-5700,0-1 1,0 1 0,0-1 0,-1 1 0,1 0 0,0 0-1,-1 1 1,0-1 0,1 1 0,-1 0 0,3 3 0,-2-1-803,0 0 0,0 1 0,0-1 1,-1 1-1,0 0 0,0 0 1,0 0-1,-1 0 0,1 1 1,-2-1-1,2 8 0,-2-9 353,0 0 0,-1 0 0,0-1 0,0 1-1,0 0 1,0 0 0,-1 0 0,0 0 0,0 0 0,0-1-1,-1 1 1,-1 5 0,1-7 563,1 0 0,-1-1 0,0 1 0,0 0 0,0-1 1,0 1-1,-1-1 0,-2 2 0,2-1 427,0-1 0,0 0 0,0-1 1,0 1-1,-1 0 0,1-1 0,-1 0 1,-3 1-1,-179 27-387,56-11 0,114-15 0,-19 4 0,0-2 0,0-1 0,-66-1 0,98-3 0,0-1 0,0 1 0,0-1 0,1 1 0,-1-1 0,0 0 0,1 0 0,-1 0 0,0 0 0,1-1 0,0 1 0,-1-1 0,1 1 0,0-1 0,0 0 0,0 0 0,0 0 0,0 0 0,0 0 0,0-1 0,1 1 0,-1 0 0,1-1 0,0 1 0,-1-1 0,1 0 0,1 1 0,-1-1 0,0 0 0,1 0 0,-1 1 0,1-4 0,-2-12 0</inkml:trace>
  <inkml:trace contextRef="#ctx0" brushRef="#br0" timeOffset="40550.49">473 1749 8192,'-16'-4'19409,"8"0"-19663,-5-2-2257,5 4 3889,-3-1-1378,-1 2 0,1-1 0,0 1 0,-20 2 0,29-1 0,0 0 0,-1 0 0,1 1 0,0-1 0,-1 1 0,1-1 0,0 1 0,0 0 0,0 0 0,0 0 0,0 0 0,0 0 0,0 1 0,0-1 0,0 1 0,1-1 0,-1 1 0,0 0 0,1-1 0,-1 1 0,1 0 0,0 0 0,0 0 0,0 0 0,0 0 0,0 0 0,0 0 0,0 1 0,0 2 0,-4 58 0,5-51 0,0-1 0,-1 0 0,0 0 0,-1 0 0,0 0 0,-4 10 0,-7 18 2851,2-2-4068,4-9-4033,1 1 0,-3 39 0,7-11 1344,1-1 3906,0-35 0,0 1 0,2 0 0,0 0 0,5 23 0,-4-39 0,1 0 0,-1 0 0,1-1 0,0 1 0,1-1 0,-1 1 0,1-1 0,0 0 0,1-1 0,-1 1 0,1-1 0,0 0 0,0 0 0,0 0 0,0-1 0,1 1 0,5 2 0,30 21 0,-6-1 0,2-3 0,0-1 0,81 35 0,-113-55 0,8 2 0,-1 0 0,1-1 0,0-1 0,0 0 0,0 0 0,1-2 0,-1 0 0,18-1 0,-9 0 0,-3 1 0</inkml:trace>
  <inkml:trace contextRef="#ctx0" brushRef="#br0" timeOffset="43189.54">900 2348 8192,'-1'24'12851,"-2"0"-7412,1-16-5515,0 1 1,0-1 0,-1 0 0,0 0 0,0 0-1,-1 0 1,0 0 0,0-1 0,-1 1-1,-9 10 1,-15 7-6697,24-22 6853,0 0 1,0 0-1,0-1 0,-1 1 1,1-1-1,-10 2 0,-36 1 4265,14-6-4405,18 1-436</inkml:trace>
  <inkml:trace contextRef="#ctx0" brushRef="#br0" timeOffset="45827.6">943 1985 8192,'6'-9'16949,"6"19"-14296,3 8-5667,-10-10 4448,3 8-1434,0 0 0,-1 1 0,6 19 0,6 17 0,-8-26 0,-9-19 0,1 0 0,0 0 0,1 0 0,0-1 0,0 0 0,9 12 0,29 41 0,-35-48 0,1 0 0,0 0 0,0-1 0,1 0 0,18 16 0,-26-26 4,1 1 0,0-1 0,0 0 0,0 1 0,0-1 0,0 0 0,0 0 0,0 0 0,0-1 0,0 1 0,0 0 0,0-1 0,1 0 0,-1 1 0,0-1 0,0 0 0,1 0 0,-1 0 0,0 0 0,1-1 0,-1 1 0,0 0 0,0-1 0,0 0 0,0 0 0,1 1 0,-1-1 0,0 0 0,0-1 0,-1 1 0,1 0 0,2-2 0,5-5-116,-1-1 0,1 0 0,-2 0 0,1-1-1,5-10 1,12-14-3703,18-13-6674,-14 16 6733,0 1 4335,-3-3-579,-21 26 0,0-1 0,1 1 0,0 1 0,0-1 0,10-7 0,-12 11 181,0 0 0,0-1 0,0 0 0,-1 0 0,1 0 0,-1 0 0,5-9 1,-4 7 957,-2 0 1,1-1 0,-1 1 0,0 0 0,0-1 0,0 0 0,-1 1 0,0-1-1,0-13 1,-1 15-475,-1-1-1,1 1 0,-1 0 1,0 0-1,0-1 0,-1 1 1,1 0-1,-1 0 0,0 0 1,-1 0-1,1 1 0,-6-8 1,6 9-980,-1 0 0,0 0 0,0 0 1,0 0-1,0 1 0,0-1 1,-1 1-1,1 0 0,-1 0 0,-6-3 1,-64-17-2233,-6-4-10376,64 21 12588,0 1-1,0 1 1,-1 0 0,1 1-1,-1 0 1,1 2 0,-25 1 0,18 0 367,1-1 1,-1-1-1,-28-6 1,19 2-33,-46-2 0,46 5 0,-49-10 0,53 8 1472,23 3-621,1 1-1,-1 0 1,1 0 0,-1 0-1,1 1 1,0-1 0,-6 2 0,9-1-663,-1-1 1,1 1-1,-1-1 1,1 1 0,-1 0-1,1 0 1,0 0-1,-1 0 1,1 0 0,0 0-1,0 0 1,0 0-1,0 0 1,-1 1 0,2-1-1,-1 0 1,0 1-1,0-1 1,-1 3 0,1-1-581,1 0 0,-1 0-1,1 0 1,-1-1 0,1 1 0,0 0 0,0 0 0,0 0 0,1 3 0,1 3 314,1 1-1,-1-1 1,1 0 0,1 0-1,0 0 1,0-1 0,1 0-1,0 1 1,0-2 0,1 1-1,0 0 1,13 11 0,-6-7 647,1 0 0,27 18 0,7-3 5643,-9-13-3025,5-9-3397,47-7-2546,-34-1 5527,-15 3-4069,54 0-16283,-72 0 16343,-1 0 3333,-5 0-2095</inkml:trace>
  <inkml:trace contextRef="#ctx0" brushRef="#br0" timeOffset="48385.65">1991 1856 8192,'-12'-14'19132,"2"13"-18742,-11 2-3254,10 1 4228,-15 2-1364,0 0 0,-31-1 0,5 0 0,50-3-9,-1 0 1,0 0 0,0 1 0,0 0 0,1-1-1,-1 1 1,0 0 0,1 1 0,-1-1 0,0 0-1,1 1 1,0-1 0,-1 1 0,1 0-1,0 0 1,0 0 0,-3 3 0,3-1 44,-1 0 1,1 0-1,0 0 0,0 0 1,0 0-1,0 1 1,1-1-1,0 1 0,-2 8 1,2-2-495,0 1 0,1 0-1,1 15 1,8 28-6278,-7-48 5430,0 1-1,1-1 1,-1 1 0,2-1-1,6 12 1,-3-10 739,-1 0 0,1 0 0,12 11 0,4 0 873,1-1 1,28 17 0,-32-22-790,6 3 396,1-2 0,39 18 0,-40-23 5042,0-1 5369,-32-6-9834,-1 0 0,0-1 0,1 0 0,-1 0 0,-9 1-1,-34 6-1610,11-1 1330,0-3 0,-54 2-1,79-7-149,1 1 0,0 0 0,0 1-1,0 0 1,0 1 0,0 0 0,-17 8 0,6 1-5191,-10 16-7669</inkml:trace>
  <inkml:trace contextRef="#ctx0" brushRef="#br0" timeOffset="49836.92">2461 1664 8192,'18'22'10984,"-6"2"-5435,-4 6-2723,-2 17-3411,1 9-1590,6-19 3598,-6-20-1423,0 0 0,5 26 0,-8-28 0,1 0 0,0 0 0,1 0 0,8 14 0,-9-20 0,-1 0 0,0 1 0,-1-1 0,0 1 0,0 0 0,-1 0 0,0 0 0,0 12 0,0 12 0,-4 38 0,0-17 0,2-36 0</inkml:trace>
  <inkml:trace contextRef="#ctx0" brushRef="#br0" timeOffset="51149.43">2248 1793 8192,'10'-15'18957,"21"-5"-21331,-24 17 3813,12-7-1439,1 1 0,-1 1 0,41-11 0,14-5 0,-59 19 0,1 1 0,0 0 0,1 1 0,-1 1 0,22-1 0,-22 3 0,1-1 0,-1-1 0,0-1 0,0-1 0,22-6 0,-13 0-255,0 2 0,1 1 0,0 1 0,46-5 0,48 8-6264,-101 3 14313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6T11:50:56.16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175 489 8192,'-5'55'15473,"-3"-16"-11733,-2 0-3570,-7 35-2859,12-22 4017,3-32-1737,-1-1 0,0 1 0,-2-1 1,0 0-1,-9 21 0,-8 29-5036,19-56 2964,1 0 1,0 0-1,-1 20 1,5 67 2164,-8 73 15333,-4-167-12517,9-6-2575,0 0 0,0 0-1,0-1 1,0 1 0,0 0 0,0-1 0,0 1 0,0-1 0,0 1 0,0-1 0,1 1 0,-1-1 0,0 0-1,0 1 1,0-1 0,1 0 0,-1 0 0,1 0 0,-1 0 0,0 1 0,1-1 0,-1 0 0,1 0-1,0 0 1,-1 0 0,1 0 0,0 0 0,-1-2 0,-5-26 2698,1-18-3363,0-9 1654,-5-5-2806,5-21-7263,6-90 0,1 115 9639,-2-5 6839,0 37 1576,1 1-4779,-1 15-4182,1 0-1,0 0 1,1 0-1,0 0 1,0 0-1,1 0 1,0 1 0,0-1-1,10-14 1,-2 7 62,1 2 0,1-1 0,0 2 0,1-1 0,0 2 0,1 0 0,29-17 0,-42 28 4,0 0 0,0 0 0,1 0 0,-1 0 1,0 0-1,0 1 0,1-1 0,-1 1 0,1 0 1,-1 0-1,0-1 0,1 2 0,-1-1 1,0 0-1,1 0 0,-1 1 0,0-1 0,1 1 1,-1 0-1,0 0 0,0 0 0,1 0 0,-1 0 1,0 0-1,0 0 0,0 1 0,-1-1 0,5 4 1,4 5-261,1 1 0,-2 0 1,15 20-1,-11-13-1319,105 148-7056,-24-33 2961,-73-106 5389,31 28-1,-31-34 55,0 1-1,19 28 1,22 25 1107,-53-63-1375</inkml:trace>
  <inkml:trace contextRef="#ctx0" brushRef="#br0" timeOffset="1595.49">110 960 8192,'0'4'18022,"4"0"-18022,8 1 0,10-1 0,11-2 0,12 0 0,1-5 0,1-1 0,-1-1 0,-5 1 0,-5 2 0,-5 0 0,-5 1 0,-3 0 0,-4 1 0</inkml:trace>
  <inkml:trace contextRef="#ctx0" brushRef="#br0" timeOffset="3220.4">560 233 8192,'26'2'11800,"-8"2"-8850,22 14 1672,-20-5-5786,33 27-1,-5-4 2144,-31-23-979,31 31 0,-38-34 0,-1-1 0,2 0 0,-1 0 0,1-1 0,0 0 0,1-1 0,0 0 0,17 7 0,115 42 0,-120-45 0,-1 2 0,1 0 0,-2 2 0,34 26 0,3 3 0,-56-41 0,1-1 0,0 0 0,-1 0 0,1 0 0,0 0 0,0 0 0,1-1 0,-1 0 0,0 0 0,0 0 0,1 0 0,-1-1 0,0 0 0,1 0 0,6 0 0,-8-1 0,-1 0 0,1 1 0,-1-1 0,0 0 0,1-1 0,-1 1 0,0 0 0,0-1 0,0 1 0,0-1 0,0 1 0,0-1 0,0 0 0,-1 0 0,1 0 0,0 0 0,-1 0 0,0 0 0,1-1 0,-1 1 0,0 0 0,0-1 0,0 1 0,-1 0 0,1-1 0,-1 1 0,1-5 0,2-23-350,-1-1 1,-1 1 0,-5-37 0,1-8 1746,4-1-5877,0-11-619,-3 31-2323,-19-54 6401,7 48 3817,11 44-2236</inkml:trace>
  <inkml:trace contextRef="#ctx0" brushRef="#br0" timeOffset="5275.51">1714 168 8192,'-28'-26'8598,"-17"-10"-212,43 34-8350,0 0 1,-1 0-1,1 0 0,-1 1 1,0-1-1,1 1 1,-1-1-1,0 1 0,0 0 1,0 0-1,0 0 1,0 1-1,0-1 1,0 1-1,-1 0 0,1-1 1,0 1-1,0 1 1,0-1-1,0 0 0,0 1 1,0-1-1,0 1 1,0 0-1,0 0 1,0 1-1,0-1 0,0 0 1,1 1-1,-5 3 1,2-1-43,1 1-1,0-1 1,0 1 0,0 0 0,0 1 0,1-1 0,0 1 0,0-1 0,1 1 0,-1 0 0,1 0 0,1 0 0,-1 1 0,0 8 0,-1 5 6,1 0 0,0 1 0,2-1 0,1 0 0,0 0 0,6 24 0,-6-39-46,1 0 1,0 0-1,1-1 1,-1 1 0,1-1-1,0 1 1,0-1-1,0 0 1,0 0 0,1 0-1,-1-1 1,1 1-1,0-1 1,0 0-1,7 3 1,8 6-352,2-2 0,27 11 1,3 1 75,-45-19 201,34 20-2940,-19-1 5474,-19-19-2604,0 1 0,0-1 0,0 0 0,0 1 0,-1-1 0,1 1 0,-1-1 0,0 1 0,0 0 0,-1-1 0,1 1 0,-1 0 0,1 0-1,-1 0 1,-1-1 0,1 1 0,0 0 0,-1 0 0,-1 4 0,0-3-435,0 0-1,-1 1 0,0-1 0,0-1 1,0 1-1,0 0 0,-1-1 0,0 1 1,0-1-1,0 0 0,-7 5 1,-1 0-577,-1 0 0,0-2 0,-1 1 1,-25 9-1,-19 1 3502,-43 10-2300,79-21 0</inkml:trace>
  <inkml:trace contextRef="#ctx0" brushRef="#br0" timeOffset="12948.45">367 1815 8192,'19'22'12111,"-3"2"-6573,1 7-3562,5 19-3847,7 13 2139,-21-45-268,-1 1 0,0-1 0,5 25 0,8 25 0,-16-54 89,0 0 0,-1 1 0,0-1 0,0 19 0,4 24-1376,4-20-3112,6 1-8382,-8-20 12781</inkml:trace>
  <inkml:trace contextRef="#ctx0" brushRef="#br0" timeOffset="14197.97">409 1815 8192,'0'-26'7293,"0"-18"295,4 2-4886,-2 35-2665,-1 1-1,1 0 1,0-1 0,0 1-1,1 0 1,0 0-1,0 1 1,0-1-1,1 0 1,0 1-1,5-6 1,6-4-37,1 1 0,0 0 0,22-13 0,-8 3 0,-27 20 0,1 0 0,0 1 0,0-1 0,1 1 0,-1 0 0,1 1 0,0-1 0,-1 1 0,1-1 0,0 1 0,1 1 0,-1-1 0,0 1 0,10-1 0,11-1 0,-1 2 0,0 1 0,1 1 0,40 7 0,-61-6 0,-1-1 0,1 1 0,-1 0 0,1 0 0,-1 1 0,0-1 0,0 1 0,0 0 0,0 0 0,-1 0 0,1 1 0,-1-1 0,0 1 0,0 0 0,0 0 0,-1 0 0,1 0 0,-1 0 0,0 0 0,0 1 0,0-1 0,-1 1 0,2 7 0,1 6 0,-1 1 0,-1 0 0,0 1 0,-2 27 0,-6 6-3191,4-42 1484,-1 0 1,0 0 0,-1 0 0,0 0-1,0 0 1,-1-1 0,-1 0 0,-10 15-1,-9 3 92,-5-5 3756,-12 4-2141,27-16 0,0-1 0,-1-1 0,1 0 0,-2-1 0,1-1 0,-1-1 0,-23 6 0,39-11-281,-24 4-853,-46 12 20268,43-8-18831,15-4-303</inkml:trace>
  <inkml:trace contextRef="#ctx0" brushRef="#br0" timeOffset="16206.16">1244 2414 8192,'0'-35'13442,"1"1"-8192,-3-112-5920,-9 84 948,1 16-4007,3 4 1336,-17-52 9214,15 65-11328,-1 0-7477,6 17 13389,1 0 1,0-1-1,-1-17 0,2 2 6013,3 41-6075,-2-4-1128,2 0-1,-1 0 1,1 0 0,1-1-1,3 16 1,-4-21-221,0-1 1,0 0-1,0 1 0,1-1 0,-1 0 0,1 1 1,-1-1-1,1 0 0,0 0 0,0 0 0,-1 0 1,2-1-1,-1 1 0,0-1 0,0 1 0,0-1 1,1 1-1,-1-1 0,0 0 0,1 0 0,-1-1 1,1 1-1,0 0 0,-1-1 0,1 1 0,2-1 1,93 2-1803,-49-4-3137,-2-2-3753,-42 3 8406,-1 0 0,1 0 0,-1 0 0,0-1 0,1 0 0,-1 0 0,0 0 0,7-5 0,-9 6 293,0-1 1,0 1 0,0-1 0,0 1 0,0 0 0,0 0-1,0 0 1,0 0 0,1 0 0,-1 1 0,0-1 0,1 0 0,-1 1-1,0 0 1,1 0 0,-1-1 0,1 1 0,-1 1 0,0-1-1,1 0 1,-1 1 0,1-1 0,-1 1 0,0 0 0,0-1 0,1 1-1,-1 0 1,0 1 0,0-1 0,4 3 0,-2 0-2,0 0 0,0 0 0,-1 1 0,1 0 0,-1-1 0,0 1 0,0 1 0,0-1 0,-1 0 0,0 1 0,0-1 0,1 7 0,0-3 0,0-1 0,1 1 0,8 14 0,21 35 0,-26-45 0,1 1 0,0-1 0,1 0 0,0 0 0,17 17 0,-18-23-692,42 43 3945,-30-28-4934,-10-9 1186</inkml:trace>
  <inkml:trace contextRef="#ctx0" brushRef="#br0" timeOffset="18311.59">1757 1815 8192,'2'18'16052,"0"-6"-12964,3 5-3131,2 6-2419,-4-8 3849,-1 69-1387,-3-57 0,2-1 0,5 41 0,-5-60 0,1 0 0,-1 0 0,1 0 0,1 0 0,0 0 0,0 0 0,0-1 0,0 0 0,1 1 0,0-1 0,1-1 0,-1 1 0,11 9 0,-14-14-17,0 0 1,0-1-1,0 1 1,0 0-1,0 0 1,0-1-1,0 1 0,0-1 1,0 1-1,0-1 1,1 1-1,-1-1 1,0 0-1,0 0 1,0 1-1,1-1 1,-1 0-1,0 0 1,0 0-1,1 0 1,-1-1-1,0 1 1,2 0-1,-1-1 89,0-1-1,0 1 1,0 0-1,0 0 1,0-1-1,0 1 1,0-1-1,-1 0 1,1 1-1,0-1 1,1-3-1,17-30-1819,-6 1-6464,35-101-436,-34 69 13624,-11 2 8195,-5 62-13170,1 0-1,0 0 1,0 0 0,-1 0 0,0 0 0,1 0 0,-1 0 0,0 0 0,0 0 0,0 0 0,0 1 0,0-1 0,0 0 0,-1 1-1,1-1 1,0 0 0,-1 1 0,0 0 0,1-1 0,-1 1 0,0 0 0,1 0 0,-1 0 0,0 0 0,0 0 0,0 0 0,0 1-1,0-1 1,0 1 0,0-1 0,-4 0 0,-8 0-43,1 0 0,0 1 0,-1 0 0,-13 2-1,5 0-335,-3-2 2347,-12 0-7556,5 0-797,10 0 4958,4 1 3708,1 0 4420,17-1-6613,-1 0 1,0 0-1,0 0 0,1 0 1,-1 0-1,0 0 0,1 0 1,-1 0-1,0 0 0,1 0 0,-1 1 1,0-1-1,1 0 0,-1 0 1,0 1-1,1-1 0,-1 0 1,1 1-1,-1-1 0,0 1 1,1-1-1,-1 1 0,1-1 1,-1 1-1,1-1 0,0 1 1,-1-1-1,1 1 0,-1-1 1,1 2-1,0-1-53,0 0 0,1 1 1,-1-1-1,1 0 0,-1 0 0,1 0 1,-1 0-1,1 0 0,0 0 0,0 0 1,-1 0-1,1 0 0,0-1 1,0 1-1,2 1 0,39 25-3178,-28-21 313,0 0 1,1-1 0,-1 0-1,19 3 1,-8-5 1947,149 26 679,-92-15 202,-43-6 0,52 4 0,-72-12 0</inkml:trace>
  <inkml:trace contextRef="#ctx0" brushRef="#br0" timeOffset="86277.24">1906 19 8192,'22'4'12912,"-15"-1"-11298,18 15 3143,-14-7-5445,-1 1 0,12 17-1,5 7 1493,-21-28-804,0 0 0,-1 0 0,1 1 0,-2 0 0,5 10 0,8 17 0,29 33 0,-35-55 0,-1 0 0,-1 1 0,0 0 0,-1 1 0,0-1 0,-1 1 0,8 29 0,-12-33-345,1 0 1,0 0 0,1 0 0,11 18 0,-9-18 774,-1 0 0,0 0 0,7 24 1,6 12-441,-15-41-714,0 0-1,-1 0 1,0 1 0,-1 0 0,4 15-1,-4-14-1244,0 1-1,1 0 1,0-1-1,0 0 1,9 17-1,-2-6 121,-5-7 1849</inkml:trace>
  <inkml:trace contextRef="#ctx0" brushRef="#br0" timeOffset="88532.95">2142 147 8192,'3'-34'12901,"6"5"-7495,-7 24-5417,1 0 0,0 1 0,0 0 0,0-1 0,0 1 0,1 0 0,-1 1 0,1-1 0,0 1 0,0 0 0,1 0 0,-1 0 0,1 0 0,-1 1 0,1-1 0,0 1 0,0 1 0,0-1 0,0 1 0,0-1 0,0 1 0,0 1 0,1-1 1,-1 1-1,5 0 0,8-1 11,-1 1 0,0 0 0,1 2 0,-1 0 0,0 0 0,0 2 0,0 0 0,18 7 0,-9 0 0,-16-8 0,1 1 0,-2 1 0,1-1 0,0 2 0,-1-1 0,0 1 0,11 10 0,28 22 0,-36-29 0,1 1 0,18 19 0,-27-25 0,0 1 0,-1 0 0,1 0 0,-1 0 0,0 0 0,-1 1 0,1-1 0,-1 1 0,0 0 0,2 10 0,-3-11-639,0 1 0,0 0 0,-1 0 0,0 0 0,0 0 0,0-1 0,-1 1 0,0 0 0,0 0 0,0-1 0,-1 1 0,0 0 0,0-1 0,0 0 0,-1 1 0,0-1 0,0 0 0,0 0 0,-1 0 0,1-1 0,-1 0 0,-5 5 0,2-2-157,-1-1 0,0 0 0,0 0 0,0-1 0,-11 5 0,6-4 1159,0-1-1,-1 0 1,-15 3 0,1-1-363,-2-1 0,1-1 0,-35 0 0,52-4-36,-1 1 1,-23 5-1,-8 2 18165</inkml:trace>
  <inkml:trace contextRef="#ctx0" brushRef="#br0" timeOffset="89651.09">2249 468 8192,'0'4'18022,"3"1"-18022,6-1 0,4 0 0,3-2 0,4 0 0,1-1 0,1-1 0,-3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293031250003" createdVersion="8" refreshedVersion="8" minRefreshableVersion="3" recordCount="50" xr:uid="{5AAB2B3F-96DB-4512-AFF2-079D76C36542}">
  <cacheSource type="worksheet">
    <worksheetSource ref="A1:Z51" sheet="Pivots &amp; Analysis"/>
  </cacheSource>
  <cacheFields count="26">
    <cacheField name="MachineID" numFmtId="0">
      <sharedItems count="50">
        <s v="M1"/>
        <s v="M2"/>
        <s v="M3"/>
        <s v="M4"/>
        <s v="M5"/>
        <s v="M6"/>
        <s v="M7"/>
        <s v="M8"/>
        <s v="M9"/>
        <s v="M10"/>
        <s v="M11"/>
        <s v="M12"/>
        <s v="M13"/>
        <s v="M14"/>
        <s v="M15"/>
        <s v="M16"/>
        <s v="M17"/>
        <s v="M18"/>
        <s v="M19"/>
        <s v="M20"/>
        <s v="M21"/>
        <s v="M22"/>
        <s v="M23"/>
        <s v="M24"/>
        <s v="M25"/>
        <s v="M26"/>
        <s v="M27"/>
        <s v="M28"/>
        <s v="M29"/>
        <s v="M30"/>
        <s v="M31"/>
        <s v="M32"/>
        <s v="M33"/>
        <s v="M34"/>
        <s v="M35"/>
        <s v="M36"/>
        <s v="M37"/>
        <s v="M38"/>
        <s v="M39"/>
        <s v="M40"/>
        <s v="M41"/>
        <s v="M42"/>
        <s v="M43"/>
        <s v="M44"/>
        <s v="M45"/>
        <s v="M46"/>
        <s v="M47"/>
        <s v="M48"/>
        <s v="M49"/>
        <s v="M50"/>
      </sharedItems>
    </cacheField>
    <cacheField name="MachineAgeHours" numFmtId="0">
      <sharedItems containsSemiMixedTypes="0" containsString="0" containsNumber="1" containsInteger="1" minValue="5000" maxValue="15000" count="10">
        <n v="12000"/>
        <n v="8000"/>
        <n v="15000"/>
        <n v="5000"/>
        <n v="11000"/>
        <n v="9000"/>
        <n v="7000"/>
        <n v="13000"/>
        <n v="6000"/>
        <n v="10000"/>
      </sharedItems>
    </cacheField>
    <cacheField name="Shift" numFmtId="0">
      <sharedItems count="3">
        <s v="Shift1"/>
        <s v="Shift2"/>
        <s v="Shift3"/>
      </sharedItems>
    </cacheField>
    <cacheField name="Team" numFmtId="0">
      <sharedItems count="3">
        <s v="TeamA"/>
        <s v="TeamB"/>
        <s v="TeamC"/>
      </sharedItems>
    </cacheField>
    <cacheField name="DowntimeReason" numFmtId="0">
      <sharedItems count="4">
        <s v="Maintenance"/>
        <s v="Operator Error"/>
        <s v="Supply Shortage"/>
        <s v="Machine Failure"/>
      </sharedItems>
    </cacheField>
    <cacheField name="DowntimeStart" numFmtId="22">
      <sharedItems containsSemiMixedTypes="0" containsNonDate="0" containsDate="1" containsString="0" minDate="2026-05-01T08:00:00" maxDate="2026-05-25T14:00:00"/>
    </cacheField>
    <cacheField name="DowntimeEnd" numFmtId="22">
      <sharedItems containsSemiMixedTypes="0" containsNonDate="0" containsDate="1" containsString="0" minDate="2026-05-01T10:00:00" maxDate="2026-05-25T15:00:00"/>
    </cacheField>
    <cacheField name="DowntimeDurationHrs" numFmtId="0">
      <sharedItems containsSemiMixedTypes="0" containsString="0" containsNumber="1" minValue="1" maxValue="2.5"/>
    </cacheField>
    <cacheField name="IncidentID" numFmtId="0">
      <sharedItems/>
    </cacheField>
    <cacheField name="BatchID" numFmtId="0">
      <sharedItems/>
    </cacheField>
    <cacheField name="PlannedProdTimeHrs" numFmtId="0">
      <sharedItems containsSemiMixedTypes="0" containsString="0" containsNumber="1" containsInteger="1" minValue="7" maxValue="9"/>
    </cacheField>
    <cacheField name="ActualProdTimeHrs" numFmtId="0">
      <sharedItems containsSemiMixedTypes="0" containsString="0" containsNumber="1" minValue="5.5" maxValue="7"/>
    </cacheField>
    <cacheField name="UnitsPlanned" numFmtId="0">
      <sharedItems containsSemiMixedTypes="0" containsString="0" containsNumber="1" containsInteger="1" minValue="450" maxValue="700"/>
    </cacheField>
    <cacheField name="UnitsProduced" numFmtId="0">
      <sharedItems containsSemiMixedTypes="0" containsString="0" containsNumber="1" containsInteger="1" minValue="400" maxValue="660"/>
    </cacheField>
    <cacheField name="HourlyOperatingCost" numFmtId="0">
      <sharedItems containsSemiMixedTypes="0" containsString="0" containsNumber="1" containsInteger="1" minValue="1300" maxValue="1600"/>
    </cacheField>
    <cacheField name="BudgetedDowntimeCost" numFmtId="0">
      <sharedItems containsSemiMixedTypes="0" containsString="0" containsNumber="1" containsInteger="1" minValue="1500" maxValue="3000"/>
    </cacheField>
    <cacheField name="ActualDowntimeCost" numFmtId="0">
      <sharedItems containsSemiMixedTypes="0" containsString="0" containsNumber="1" containsInteger="1" minValue="1300" maxValue="4000"/>
    </cacheField>
    <cacheField name="Run Time" numFmtId="0">
      <sharedItems containsSemiMixedTypes="0" containsString="0" containsNumber="1" minValue="5.5" maxValue="7"/>
    </cacheField>
    <cacheField name="Availability" numFmtId="9">
      <sharedItems containsSemiMixedTypes="0" containsString="0" containsNumber="1" minValue="0.6875" maxValue="0.875"/>
    </cacheField>
    <cacheField name="Performance" numFmtId="9">
      <sharedItems containsSemiMixedTypes="0" containsString="0" containsNumber="1" minValue="0.66666666666666663" maxValue="0.9538461538461539"/>
    </cacheField>
    <cacheField name="Quality" numFmtId="9">
      <sharedItems containsSemiMixedTypes="0" containsString="0" containsNumber="1" minValue="0.82857142857142863" maxValue="0.96923076923076923"/>
    </cacheField>
    <cacheField name="OEE" numFmtId="9">
      <sharedItems containsSemiMixedTypes="0" containsString="0" containsNumber="1" minValue="0.441" maxValue="0.7632692307692307"/>
    </cacheField>
    <cacheField name="Lost Units" numFmtId="0">
      <sharedItems containsSemiMixedTypes="0" containsString="0" containsNumber="1" containsInteger="1" minValue="20" maxValue="120"/>
    </cacheField>
    <cacheField name="Cost of Downtime" numFmtId="0">
      <sharedItems containsSemiMixedTypes="0" containsString="0" containsNumber="1" containsInteger="1" minValue="1300" maxValue="4000"/>
    </cacheField>
    <cacheField name="Cost Variance" numFmtId="0">
      <sharedItems containsSemiMixedTypes="0" containsString="0" containsNumber="1" containsInteger="1" minValue="-500" maxValue="1200"/>
    </cacheField>
    <cacheField name="Production Efficiency" numFmtId="9">
      <sharedItems containsSemiMixedTypes="0" containsString="0" containsNumber="1" minValue="0.82857142857142863" maxValue="0.96923076923076923"/>
    </cacheField>
  </cacheFields>
  <extLst>
    <ext xmlns:x14="http://schemas.microsoft.com/office/spreadsheetml/2009/9/main" uri="{725AE2AE-9491-48be-B2B4-4EB974FC3084}">
      <x14:pivotCacheDefinition pivotCacheId="3941691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293031250003" createdVersion="8" refreshedVersion="8" minRefreshableVersion="3" recordCount="50" xr:uid="{4EED9E9E-53EF-4358-B69A-D89B3FC0F7BC}">
  <cacheSource type="worksheet">
    <worksheetSource ref="A1:AA51" sheet="Pivots &amp; Analysis"/>
  </cacheSource>
  <cacheFields count="27">
    <cacheField name="MachineID" numFmtId="0">
      <sharedItems/>
    </cacheField>
    <cacheField name="MachineAgeHours" numFmtId="0">
      <sharedItems containsSemiMixedTypes="0" containsString="0" containsNumber="1" containsInteger="1" minValue="5000" maxValue="15000"/>
    </cacheField>
    <cacheField name="Shift" numFmtId="0">
      <sharedItems/>
    </cacheField>
    <cacheField name="Team" numFmtId="0">
      <sharedItems count="3">
        <s v="TeamA"/>
        <s v="TeamB"/>
        <s v="TeamC"/>
      </sharedItems>
    </cacheField>
    <cacheField name="DowntimeReason" numFmtId="0">
      <sharedItems/>
    </cacheField>
    <cacheField name="DowntimeStart" numFmtId="22">
      <sharedItems containsSemiMixedTypes="0" containsNonDate="0" containsDate="1" containsString="0" minDate="2026-05-01T08:00:00" maxDate="2026-05-25T14:00:00" count="50">
        <d v="2026-05-01T08:00:00"/>
        <d v="2026-05-01T14:00:00"/>
        <d v="2026-05-02T09:00:00"/>
        <d v="2026-05-02T13:00:00"/>
        <d v="2026-05-03T08:30:00"/>
        <d v="2026-05-03T15:00:00"/>
        <d v="2026-05-04T09:00:00"/>
        <d v="2026-05-04T12:00:00"/>
        <d v="2026-05-05T08:00:00"/>
        <d v="2026-05-05T14:00:00"/>
        <d v="2026-05-06T09:00:00"/>
        <d v="2026-05-06T13:00:00"/>
        <d v="2026-05-07T08:00:00"/>
        <d v="2026-05-07T15:00:00"/>
        <d v="2026-05-08T09:00:00"/>
        <d v="2026-05-08T12:00:00"/>
        <d v="2026-05-09T08:30:00"/>
        <d v="2026-05-09T14:00:00"/>
        <d v="2026-05-10T09:00:00"/>
        <d v="2026-05-10T13:00:00"/>
        <d v="2026-05-11T08:00:00"/>
        <d v="2026-05-11T14:00:00"/>
        <d v="2026-05-12T09:00:00"/>
        <d v="2026-05-12T13:00:00"/>
        <d v="2026-05-13T08:00:00"/>
        <d v="2026-05-13T15:00:00"/>
        <d v="2026-05-14T09:00:00"/>
        <d v="2026-05-14T12:00:00"/>
        <d v="2026-05-15T08:30:00"/>
        <d v="2026-05-15T14:00:00"/>
        <d v="2026-05-16T09:00:00"/>
        <d v="2026-05-16T13:00:00"/>
        <d v="2026-05-17T08:00:00"/>
        <d v="2026-05-17T15:00:00"/>
        <d v="2026-05-18T09:00:00"/>
        <d v="2026-05-18T12:00:00"/>
        <d v="2026-05-19T08:30:00"/>
        <d v="2026-05-19T14:00:00"/>
        <d v="2026-05-20T09:00:00"/>
        <d v="2026-05-20T13:00:00"/>
        <d v="2026-05-21T08:00:00"/>
        <d v="2026-05-21T14:00:00"/>
        <d v="2026-05-22T09:00:00"/>
        <d v="2026-05-22T13:00:00"/>
        <d v="2026-05-23T08:00:00"/>
        <d v="2026-05-23T15:00:00"/>
        <d v="2026-05-24T09:00:00"/>
        <d v="2026-05-24T12:00:00"/>
        <d v="2026-05-25T08:30:00"/>
        <d v="2026-05-25T14:00:00"/>
      </sharedItems>
    </cacheField>
    <cacheField name="DowntimeEnd" numFmtId="22">
      <sharedItems containsSemiMixedTypes="0" containsNonDate="0" containsDate="1" containsString="0" minDate="2026-05-01T10:00:00" maxDate="2026-05-25T15:00:00"/>
    </cacheField>
    <cacheField name="DowntimeDurationHrs" numFmtId="0">
      <sharedItems containsSemiMixedTypes="0" containsString="0" containsNumber="1" minValue="1" maxValue="2.5"/>
    </cacheField>
    <cacheField name="IncidentID" numFmtId="0">
      <sharedItems/>
    </cacheField>
    <cacheField name="BatchID" numFmtId="0">
      <sharedItems/>
    </cacheField>
    <cacheField name="PlannedProdTimeHrs" numFmtId="0">
      <sharedItems containsSemiMixedTypes="0" containsString="0" containsNumber="1" containsInteger="1" minValue="7" maxValue="9"/>
    </cacheField>
    <cacheField name="ActualProdTimeHrs" numFmtId="0">
      <sharedItems containsSemiMixedTypes="0" containsString="0" containsNumber="1" minValue="5.5" maxValue="7"/>
    </cacheField>
    <cacheField name="UnitsPlanned" numFmtId="0">
      <sharedItems containsSemiMixedTypes="0" containsString="0" containsNumber="1" containsInteger="1" minValue="450" maxValue="700"/>
    </cacheField>
    <cacheField name="UnitsProduced" numFmtId="0">
      <sharedItems containsSemiMixedTypes="0" containsString="0" containsNumber="1" containsInteger="1" minValue="400" maxValue="660"/>
    </cacheField>
    <cacheField name="HourlyOperatingCost" numFmtId="0">
      <sharedItems containsSemiMixedTypes="0" containsString="0" containsNumber="1" containsInteger="1" minValue="1300" maxValue="1600"/>
    </cacheField>
    <cacheField name="BudgetedDowntimeCost" numFmtId="0">
      <sharedItems containsSemiMixedTypes="0" containsString="0" containsNumber="1" containsInteger="1" minValue="1500" maxValue="3000"/>
    </cacheField>
    <cacheField name="ActualDowntimeCost" numFmtId="0">
      <sharedItems containsSemiMixedTypes="0" containsString="0" containsNumber="1" containsInteger="1" minValue="1300" maxValue="4000"/>
    </cacheField>
    <cacheField name="Run Time" numFmtId="0">
      <sharedItems containsSemiMixedTypes="0" containsString="0" containsNumber="1" minValue="5.5" maxValue="7"/>
    </cacheField>
    <cacheField name="Availability" numFmtId="9">
      <sharedItems containsSemiMixedTypes="0" containsString="0" containsNumber="1" minValue="0.6875" maxValue="0.875"/>
    </cacheField>
    <cacheField name="Performance" numFmtId="9">
      <sharedItems containsSemiMixedTypes="0" containsString="0" containsNumber="1" minValue="0.66666666666666663" maxValue="0.9538461538461539"/>
    </cacheField>
    <cacheField name="Quality" numFmtId="9">
      <sharedItems containsSemiMixedTypes="0" containsString="0" containsNumber="1" minValue="0.82857142857142863" maxValue="0.96923076923076923"/>
    </cacheField>
    <cacheField name="OEE" numFmtId="9">
      <sharedItems containsSemiMixedTypes="0" containsString="0" containsNumber="1" minValue="0.441" maxValue="0.7632692307692307"/>
    </cacheField>
    <cacheField name="Lost Units" numFmtId="0">
      <sharedItems containsSemiMixedTypes="0" containsString="0" containsNumber="1" containsInteger="1" minValue="20" maxValue="120"/>
    </cacheField>
    <cacheField name="Cost of Downtime" numFmtId="0">
      <sharedItems containsSemiMixedTypes="0" containsString="0" containsNumber="1" containsInteger="1" minValue="1300" maxValue="4000"/>
    </cacheField>
    <cacheField name="Cost Variance" numFmtId="0">
      <sharedItems containsSemiMixedTypes="0" containsString="0" containsNumber="1" containsInteger="1" minValue="-500" maxValue="1200"/>
    </cacheField>
    <cacheField name="Production Efficiency" numFmtId="9">
      <sharedItems containsSemiMixedTypes="0" containsString="0" containsNumber="1" minValue="0.82857142857142863" maxValue="0.96923076923076923"/>
    </cacheField>
    <cacheField name="ProdTime Lost" numFmtId="0">
      <sharedItems containsSemiMixedTypes="0" containsString="0" containsNumber="1" minValue="0.5" maxValue="2.5"/>
    </cacheField>
  </cacheFields>
  <extLst>
    <ext xmlns:x14="http://schemas.microsoft.com/office/spreadsheetml/2009/9/main" uri="{725AE2AE-9491-48be-B2B4-4EB974FC3084}">
      <x14:pivotCacheDefinition pivotCacheId="14678436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d v="2026-05-01T08:00:00"/>
    <d v="2026-05-01T10:00:00"/>
    <n v="2"/>
    <s v="INC001"/>
    <s v="B001"/>
    <n v="8"/>
    <n v="6"/>
    <n v="500"/>
    <n v="420"/>
    <n v="1500"/>
    <n v="2500"/>
    <n v="3000"/>
    <n v="6"/>
    <n v="0.75"/>
    <n v="0.70000000000000007"/>
    <n v="0.84"/>
    <n v="0.441"/>
    <n v="80"/>
    <n v="3000"/>
    <n v="500"/>
    <n v="0.84"/>
  </r>
  <r>
    <x v="1"/>
    <x v="1"/>
    <x v="1"/>
    <x v="1"/>
    <x v="1"/>
    <d v="2026-05-01T14:00:00"/>
    <d v="2026-05-01T15:30:00"/>
    <n v="1.5"/>
    <s v="INC002"/>
    <s v="B002"/>
    <n v="8"/>
    <n v="6.5"/>
    <n v="600"/>
    <n v="550"/>
    <n v="1400"/>
    <n v="2000"/>
    <n v="2100"/>
    <n v="6.5"/>
    <n v="0.8125"/>
    <n v="0.84615384615384615"/>
    <n v="0.91666666666666663"/>
    <n v="0.63020833333333326"/>
    <n v="50"/>
    <n v="2100"/>
    <n v="100"/>
    <n v="0.91666666666666663"/>
  </r>
  <r>
    <x v="2"/>
    <x v="2"/>
    <x v="2"/>
    <x v="2"/>
    <x v="2"/>
    <d v="2026-05-02T09:00:00"/>
    <d v="2026-05-02T11:30:00"/>
    <n v="2.5"/>
    <s v="INC003"/>
    <s v="B003"/>
    <n v="9"/>
    <n v="6.5"/>
    <n v="700"/>
    <n v="580"/>
    <n v="1600"/>
    <n v="3000"/>
    <n v="4000"/>
    <n v="6.5"/>
    <n v="0.72222222222222221"/>
    <n v="0.89230769230769225"/>
    <n v="0.82857142857142863"/>
    <n v="0.53396825396825398"/>
    <n v="120"/>
    <n v="4000"/>
    <n v="1000"/>
    <n v="0.82857142857142863"/>
  </r>
  <r>
    <x v="3"/>
    <x v="3"/>
    <x v="0"/>
    <x v="0"/>
    <x v="3"/>
    <d v="2026-05-02T13:00:00"/>
    <d v="2026-05-02T14:00:00"/>
    <n v="1"/>
    <s v="INC004"/>
    <s v="B004"/>
    <n v="7"/>
    <n v="6"/>
    <n v="450"/>
    <n v="400"/>
    <n v="1300"/>
    <n v="1500"/>
    <n v="1300"/>
    <n v="6"/>
    <n v="0.8571428571428571"/>
    <n v="0.66666666666666663"/>
    <n v="0.88888888888888884"/>
    <n v="0.50793650793650791"/>
    <n v="50"/>
    <n v="1300"/>
    <n v="-200"/>
    <n v="0.88888888888888884"/>
  </r>
  <r>
    <x v="4"/>
    <x v="4"/>
    <x v="1"/>
    <x v="1"/>
    <x v="0"/>
    <d v="2026-05-03T08:30:00"/>
    <d v="2026-05-03T10:00:00"/>
    <n v="1.5"/>
    <s v="INC005"/>
    <s v="B005"/>
    <n v="8"/>
    <n v="6.5"/>
    <n v="520"/>
    <n v="480"/>
    <n v="1500"/>
    <n v="2000"/>
    <n v="2250"/>
    <n v="6.5"/>
    <n v="0.8125"/>
    <n v="0.73846153846153839"/>
    <n v="0.92307692307692313"/>
    <n v="0.55384615384615388"/>
    <n v="40"/>
    <n v="2250"/>
    <n v="250"/>
    <n v="0.92307692307692313"/>
  </r>
  <r>
    <x v="5"/>
    <x v="5"/>
    <x v="2"/>
    <x v="2"/>
    <x v="1"/>
    <d v="2026-05-03T15:00:00"/>
    <d v="2026-05-03T16:00:00"/>
    <n v="1"/>
    <s v="INC006"/>
    <s v="B006"/>
    <n v="8"/>
    <n v="7"/>
    <n v="600"/>
    <n v="570"/>
    <n v="1400"/>
    <n v="1800"/>
    <n v="1400"/>
    <n v="7"/>
    <n v="0.875"/>
    <n v="0.81428571428571428"/>
    <n v="0.95"/>
    <n v="0.676875"/>
    <n v="30"/>
    <n v="1400"/>
    <n v="-400"/>
    <n v="0.95"/>
  </r>
  <r>
    <x v="6"/>
    <x v="6"/>
    <x v="0"/>
    <x v="0"/>
    <x v="2"/>
    <d v="2026-05-04T09:00:00"/>
    <d v="2026-05-04T11:00:00"/>
    <n v="2"/>
    <s v="INC007"/>
    <s v="B007"/>
    <n v="9"/>
    <n v="7"/>
    <n v="650"/>
    <n v="600"/>
    <n v="1500"/>
    <n v="2500"/>
    <n v="3000"/>
    <n v="7"/>
    <n v="0.77777777777777779"/>
    <n v="0.8571428571428571"/>
    <n v="0.92307692307692313"/>
    <n v="0.61538461538461542"/>
    <n v="50"/>
    <n v="3000"/>
    <n v="500"/>
    <n v="0.92307692307692313"/>
  </r>
  <r>
    <x v="7"/>
    <x v="7"/>
    <x v="1"/>
    <x v="1"/>
    <x v="3"/>
    <d v="2026-05-04T12:00:00"/>
    <d v="2026-05-04T14:30:00"/>
    <n v="2.5"/>
    <s v="INC008"/>
    <s v="B008"/>
    <n v="8"/>
    <n v="5.5"/>
    <n v="500"/>
    <n v="420"/>
    <n v="1600"/>
    <n v="2800"/>
    <n v="4000"/>
    <n v="5.5"/>
    <n v="0.6875"/>
    <n v="0.76363636363636367"/>
    <n v="0.84"/>
    <n v="0.441"/>
    <n v="80"/>
    <n v="4000"/>
    <n v="1200"/>
    <n v="0.84"/>
  </r>
  <r>
    <x v="8"/>
    <x v="8"/>
    <x v="2"/>
    <x v="2"/>
    <x v="0"/>
    <d v="2026-05-05T08:00:00"/>
    <d v="2026-05-05T09:30:00"/>
    <n v="1.5"/>
    <s v="INC009"/>
    <s v="B009"/>
    <n v="7"/>
    <n v="6"/>
    <n v="480"/>
    <n v="450"/>
    <n v="1300"/>
    <n v="2000"/>
    <n v="1950"/>
    <n v="5.5"/>
    <n v="0.7857142857142857"/>
    <n v="0.81818181818181823"/>
    <n v="0.9375"/>
    <n v="0.60267857142857151"/>
    <n v="30"/>
    <n v="1950"/>
    <n v="-50"/>
    <n v="0.9375"/>
  </r>
  <r>
    <x v="9"/>
    <x v="9"/>
    <x v="0"/>
    <x v="0"/>
    <x v="1"/>
    <d v="2026-05-05T14:00:00"/>
    <d v="2026-05-05T15:00:00"/>
    <n v="1"/>
    <s v="INC010"/>
    <s v="B010"/>
    <n v="8"/>
    <n v="7"/>
    <n v="600"/>
    <n v="580"/>
    <n v="1400"/>
    <n v="1800"/>
    <n v="1400"/>
    <n v="7"/>
    <n v="0.875"/>
    <n v="0.82857142857142851"/>
    <n v="0.96666666666666667"/>
    <n v="0.70083333333333331"/>
    <n v="20"/>
    <n v="1400"/>
    <n v="-400"/>
    <n v="0.96666666666666667"/>
  </r>
  <r>
    <x v="10"/>
    <x v="0"/>
    <x v="1"/>
    <x v="1"/>
    <x v="2"/>
    <d v="2026-05-06T09:00:00"/>
    <d v="2026-05-06T11:00:00"/>
    <n v="2"/>
    <s v="INC011"/>
    <s v="B011"/>
    <n v="9"/>
    <n v="7"/>
    <n v="700"/>
    <n v="650"/>
    <n v="1500"/>
    <n v="2500"/>
    <n v="3000"/>
    <n v="7"/>
    <n v="0.77777777777777779"/>
    <n v="0.9285714285714286"/>
    <n v="0.9285714285714286"/>
    <n v="0.67063492063492069"/>
    <n v="50"/>
    <n v="3000"/>
    <n v="500"/>
    <n v="0.9285714285714286"/>
  </r>
  <r>
    <x v="11"/>
    <x v="1"/>
    <x v="2"/>
    <x v="2"/>
    <x v="3"/>
    <d v="2026-05-06T13:00:00"/>
    <d v="2026-05-06T14:30:00"/>
    <n v="1.5"/>
    <s v="INC012"/>
    <s v="B012"/>
    <n v="8"/>
    <n v="6.5"/>
    <n v="550"/>
    <n v="500"/>
    <n v="1600"/>
    <n v="2000"/>
    <n v="2400"/>
    <n v="6.5"/>
    <n v="0.8125"/>
    <n v="0.76923076923076927"/>
    <n v="0.90909090909090906"/>
    <n v="0.56818181818181812"/>
    <n v="50"/>
    <n v="2400"/>
    <n v="400"/>
    <n v="0.90909090909090906"/>
  </r>
  <r>
    <x v="12"/>
    <x v="2"/>
    <x v="0"/>
    <x v="0"/>
    <x v="0"/>
    <d v="2026-05-07T08:00:00"/>
    <d v="2026-05-07T10:00:00"/>
    <n v="2"/>
    <s v="INC013"/>
    <s v="B013"/>
    <n v="8"/>
    <n v="6"/>
    <n v="500"/>
    <n v="460"/>
    <n v="1500"/>
    <n v="2500"/>
    <n v="3000"/>
    <n v="6"/>
    <n v="0.75"/>
    <n v="0.76666666666666672"/>
    <n v="0.92"/>
    <n v="0.52900000000000014"/>
    <n v="40"/>
    <n v="3000"/>
    <n v="500"/>
    <n v="0.92"/>
  </r>
  <r>
    <x v="13"/>
    <x v="3"/>
    <x v="1"/>
    <x v="1"/>
    <x v="1"/>
    <d v="2026-05-07T15:00:00"/>
    <d v="2026-05-07T16:00:00"/>
    <n v="1"/>
    <s v="INC014"/>
    <s v="B014"/>
    <n v="7"/>
    <n v="6.5"/>
    <n v="480"/>
    <n v="460"/>
    <n v="1300"/>
    <n v="1800"/>
    <n v="1300"/>
    <n v="6"/>
    <n v="0.8571428571428571"/>
    <n v="0.76666666666666672"/>
    <n v="0.95833333333333337"/>
    <n v="0.62976190476190474"/>
    <n v="20"/>
    <n v="1300"/>
    <n v="-500"/>
    <n v="0.95833333333333337"/>
  </r>
  <r>
    <x v="14"/>
    <x v="4"/>
    <x v="2"/>
    <x v="2"/>
    <x v="2"/>
    <d v="2026-05-08T09:00:00"/>
    <d v="2026-05-08T11:30:00"/>
    <n v="2.5"/>
    <s v="INC015"/>
    <s v="B015"/>
    <n v="9"/>
    <n v="6.5"/>
    <n v="700"/>
    <n v="620"/>
    <n v="1600"/>
    <n v="3000"/>
    <n v="4000"/>
    <n v="6.5"/>
    <n v="0.72222222222222221"/>
    <n v="0.9538461538461539"/>
    <n v="0.88571428571428568"/>
    <n v="0.61015873015873012"/>
    <n v="80"/>
    <n v="4000"/>
    <n v="1000"/>
    <n v="0.88571428571428568"/>
  </r>
  <r>
    <x v="15"/>
    <x v="5"/>
    <x v="0"/>
    <x v="0"/>
    <x v="3"/>
    <d v="2026-05-08T12:00:00"/>
    <d v="2026-05-08T13:30:00"/>
    <n v="1.5"/>
    <s v="INC016"/>
    <s v="B016"/>
    <n v="8"/>
    <n v="6.5"/>
    <n v="520"/>
    <n v="480"/>
    <n v="1400"/>
    <n v="2000"/>
    <n v="2100"/>
    <n v="6.5"/>
    <n v="0.8125"/>
    <n v="0.73846153846153839"/>
    <n v="0.92307692307692313"/>
    <n v="0.55384615384615388"/>
    <n v="40"/>
    <n v="2100"/>
    <n v="100"/>
    <n v="0.92307692307692313"/>
  </r>
  <r>
    <x v="16"/>
    <x v="6"/>
    <x v="1"/>
    <x v="1"/>
    <x v="0"/>
    <d v="2026-05-09T08:30:00"/>
    <d v="2026-05-09T10:00:00"/>
    <n v="1.5"/>
    <s v="INC017"/>
    <s v="B017"/>
    <n v="8"/>
    <n v="6.5"/>
    <n v="600"/>
    <n v="560"/>
    <n v="1500"/>
    <n v="2000"/>
    <n v="2250"/>
    <n v="6.5"/>
    <n v="0.8125"/>
    <n v="0.86153846153846159"/>
    <n v="0.93333333333333335"/>
    <n v="0.65333333333333343"/>
    <n v="40"/>
    <n v="2250"/>
    <n v="250"/>
    <n v="0.93333333333333335"/>
  </r>
  <r>
    <x v="17"/>
    <x v="7"/>
    <x v="2"/>
    <x v="2"/>
    <x v="1"/>
    <d v="2026-05-09T14:00:00"/>
    <d v="2026-05-09T15:00:00"/>
    <n v="1"/>
    <s v="INC018"/>
    <s v="B018"/>
    <n v="8"/>
    <n v="7"/>
    <n v="650"/>
    <n v="630"/>
    <n v="1400"/>
    <n v="1800"/>
    <n v="1400"/>
    <n v="7"/>
    <n v="0.875"/>
    <n v="0.9"/>
    <n v="0.96923076923076923"/>
    <n v="0.7632692307692307"/>
    <n v="20"/>
    <n v="1400"/>
    <n v="-400"/>
    <n v="0.96923076923076923"/>
  </r>
  <r>
    <x v="18"/>
    <x v="8"/>
    <x v="0"/>
    <x v="0"/>
    <x v="2"/>
    <d v="2026-05-10T09:00:00"/>
    <d v="2026-05-10T11:00:00"/>
    <n v="2"/>
    <s v="INC019"/>
    <s v="B019"/>
    <n v="9"/>
    <n v="7"/>
    <n v="700"/>
    <n v="660"/>
    <n v="1500"/>
    <n v="2500"/>
    <n v="3000"/>
    <n v="7"/>
    <n v="0.77777777777777779"/>
    <n v="0.94285714285714295"/>
    <n v="0.94285714285714284"/>
    <n v="0.6914285714285715"/>
    <n v="40"/>
    <n v="3000"/>
    <n v="500"/>
    <n v="0.94285714285714284"/>
  </r>
  <r>
    <x v="19"/>
    <x v="9"/>
    <x v="1"/>
    <x v="1"/>
    <x v="3"/>
    <d v="2026-05-10T13:00:00"/>
    <d v="2026-05-10T15:00:00"/>
    <n v="2"/>
    <s v="INC020"/>
    <s v="B020"/>
    <n v="8"/>
    <n v="6"/>
    <n v="500"/>
    <n v="470"/>
    <n v="1600"/>
    <n v="2500"/>
    <n v="3200"/>
    <n v="6"/>
    <n v="0.75"/>
    <n v="0.78333333333333333"/>
    <n v="0.94"/>
    <n v="0.55225000000000002"/>
    <n v="30"/>
    <n v="3200"/>
    <n v="700"/>
    <n v="0.94"/>
  </r>
  <r>
    <x v="20"/>
    <x v="0"/>
    <x v="2"/>
    <x v="2"/>
    <x v="0"/>
    <d v="2026-05-11T08:00:00"/>
    <d v="2026-05-11T09:30:00"/>
    <n v="1.5"/>
    <s v="INC021"/>
    <s v="B021"/>
    <n v="7"/>
    <n v="6"/>
    <n v="480"/>
    <n v="450"/>
    <n v="1300"/>
    <n v="2000"/>
    <n v="1950"/>
    <n v="5.5"/>
    <n v="0.7857142857142857"/>
    <n v="0.81818181818181823"/>
    <n v="0.9375"/>
    <n v="0.60267857142857151"/>
    <n v="30"/>
    <n v="1950"/>
    <n v="-50"/>
    <n v="0.9375"/>
  </r>
  <r>
    <x v="21"/>
    <x v="1"/>
    <x v="0"/>
    <x v="0"/>
    <x v="1"/>
    <d v="2026-05-11T14:00:00"/>
    <d v="2026-05-11T15:00:00"/>
    <n v="1"/>
    <s v="INC022"/>
    <s v="B022"/>
    <n v="8"/>
    <n v="7"/>
    <n v="600"/>
    <n v="580"/>
    <n v="1400"/>
    <n v="1800"/>
    <n v="1400"/>
    <n v="7"/>
    <n v="0.875"/>
    <n v="0.82857142857142851"/>
    <n v="0.96666666666666667"/>
    <n v="0.70083333333333331"/>
    <n v="20"/>
    <n v="1400"/>
    <n v="-400"/>
    <n v="0.96666666666666667"/>
  </r>
  <r>
    <x v="22"/>
    <x v="2"/>
    <x v="1"/>
    <x v="1"/>
    <x v="2"/>
    <d v="2026-05-12T09:00:00"/>
    <d v="2026-05-12T11:00:00"/>
    <n v="2"/>
    <s v="INC023"/>
    <s v="B023"/>
    <n v="9"/>
    <n v="7"/>
    <n v="700"/>
    <n v="650"/>
    <n v="1500"/>
    <n v="2500"/>
    <n v="3000"/>
    <n v="7"/>
    <n v="0.77777777777777779"/>
    <n v="0.9285714285714286"/>
    <n v="0.9285714285714286"/>
    <n v="0.67063492063492069"/>
    <n v="50"/>
    <n v="3000"/>
    <n v="500"/>
    <n v="0.9285714285714286"/>
  </r>
  <r>
    <x v="23"/>
    <x v="3"/>
    <x v="2"/>
    <x v="2"/>
    <x v="3"/>
    <d v="2026-05-12T13:00:00"/>
    <d v="2026-05-12T14:30:00"/>
    <n v="1.5"/>
    <s v="INC024"/>
    <s v="B024"/>
    <n v="8"/>
    <n v="6.5"/>
    <n v="550"/>
    <n v="500"/>
    <n v="1600"/>
    <n v="2000"/>
    <n v="2400"/>
    <n v="6.5"/>
    <n v="0.8125"/>
    <n v="0.76923076923076927"/>
    <n v="0.90909090909090906"/>
    <n v="0.56818181818181812"/>
    <n v="50"/>
    <n v="2400"/>
    <n v="400"/>
    <n v="0.90909090909090906"/>
  </r>
  <r>
    <x v="24"/>
    <x v="4"/>
    <x v="0"/>
    <x v="0"/>
    <x v="0"/>
    <d v="2026-05-13T08:00:00"/>
    <d v="2026-05-13T10:00:00"/>
    <n v="2"/>
    <s v="INC025"/>
    <s v="B025"/>
    <n v="8"/>
    <n v="6"/>
    <n v="500"/>
    <n v="460"/>
    <n v="1500"/>
    <n v="2500"/>
    <n v="3000"/>
    <n v="6"/>
    <n v="0.75"/>
    <n v="0.76666666666666672"/>
    <n v="0.92"/>
    <n v="0.52900000000000014"/>
    <n v="40"/>
    <n v="3000"/>
    <n v="500"/>
    <n v="0.92"/>
  </r>
  <r>
    <x v="25"/>
    <x v="5"/>
    <x v="1"/>
    <x v="1"/>
    <x v="1"/>
    <d v="2026-05-13T15:00:00"/>
    <d v="2026-05-13T16:00:00"/>
    <n v="1"/>
    <s v="INC026"/>
    <s v="B026"/>
    <n v="7"/>
    <n v="6.5"/>
    <n v="480"/>
    <n v="460"/>
    <n v="1300"/>
    <n v="1800"/>
    <n v="1300"/>
    <n v="6"/>
    <n v="0.8571428571428571"/>
    <n v="0.76666666666666672"/>
    <n v="0.95833333333333337"/>
    <n v="0.62976190476190474"/>
    <n v="20"/>
    <n v="1300"/>
    <n v="-500"/>
    <n v="0.95833333333333337"/>
  </r>
  <r>
    <x v="26"/>
    <x v="6"/>
    <x v="2"/>
    <x v="2"/>
    <x v="2"/>
    <d v="2026-05-14T09:00:00"/>
    <d v="2026-05-14T11:30:00"/>
    <n v="2.5"/>
    <s v="INC027"/>
    <s v="B027"/>
    <n v="9"/>
    <n v="6.5"/>
    <n v="700"/>
    <n v="620"/>
    <n v="1600"/>
    <n v="3000"/>
    <n v="4000"/>
    <n v="6.5"/>
    <n v="0.72222222222222221"/>
    <n v="0.9538461538461539"/>
    <n v="0.88571428571428568"/>
    <n v="0.61015873015873012"/>
    <n v="80"/>
    <n v="4000"/>
    <n v="1000"/>
    <n v="0.88571428571428568"/>
  </r>
  <r>
    <x v="27"/>
    <x v="7"/>
    <x v="0"/>
    <x v="0"/>
    <x v="3"/>
    <d v="2026-05-14T12:00:00"/>
    <d v="2026-05-14T13:30:00"/>
    <n v="1.5"/>
    <s v="INC028"/>
    <s v="B028"/>
    <n v="8"/>
    <n v="6.5"/>
    <n v="520"/>
    <n v="480"/>
    <n v="1400"/>
    <n v="2000"/>
    <n v="2100"/>
    <n v="6.5"/>
    <n v="0.8125"/>
    <n v="0.73846153846153839"/>
    <n v="0.92307692307692313"/>
    <n v="0.55384615384615388"/>
    <n v="40"/>
    <n v="2100"/>
    <n v="100"/>
    <n v="0.92307692307692313"/>
  </r>
  <r>
    <x v="28"/>
    <x v="8"/>
    <x v="1"/>
    <x v="1"/>
    <x v="0"/>
    <d v="2026-05-15T08:30:00"/>
    <d v="2026-05-15T10:00:00"/>
    <n v="1.5"/>
    <s v="INC029"/>
    <s v="B029"/>
    <n v="8"/>
    <n v="6.5"/>
    <n v="600"/>
    <n v="560"/>
    <n v="1500"/>
    <n v="2000"/>
    <n v="2250"/>
    <n v="6.5"/>
    <n v="0.8125"/>
    <n v="0.86153846153846159"/>
    <n v="0.93333333333333335"/>
    <n v="0.65333333333333343"/>
    <n v="40"/>
    <n v="2250"/>
    <n v="250"/>
    <n v="0.93333333333333335"/>
  </r>
  <r>
    <x v="29"/>
    <x v="9"/>
    <x v="2"/>
    <x v="2"/>
    <x v="1"/>
    <d v="2026-05-15T14:00:00"/>
    <d v="2026-05-15T15:00:00"/>
    <n v="1"/>
    <s v="INC030"/>
    <s v="B030"/>
    <n v="8"/>
    <n v="7"/>
    <n v="650"/>
    <n v="630"/>
    <n v="1400"/>
    <n v="1800"/>
    <n v="1400"/>
    <n v="7"/>
    <n v="0.875"/>
    <n v="0.9"/>
    <n v="0.96923076923076923"/>
    <n v="0.7632692307692307"/>
    <n v="20"/>
    <n v="1400"/>
    <n v="-400"/>
    <n v="0.96923076923076923"/>
  </r>
  <r>
    <x v="30"/>
    <x v="0"/>
    <x v="0"/>
    <x v="0"/>
    <x v="2"/>
    <d v="2026-05-16T09:00:00"/>
    <d v="2026-05-16T11:00:00"/>
    <n v="2"/>
    <s v="INC031"/>
    <s v="B031"/>
    <n v="9"/>
    <n v="7"/>
    <n v="700"/>
    <n v="660"/>
    <n v="1500"/>
    <n v="2500"/>
    <n v="3000"/>
    <n v="7"/>
    <n v="0.77777777777777779"/>
    <n v="0.94285714285714295"/>
    <n v="0.94285714285714284"/>
    <n v="0.6914285714285715"/>
    <n v="40"/>
    <n v="3000"/>
    <n v="500"/>
    <n v="0.94285714285714284"/>
  </r>
  <r>
    <x v="31"/>
    <x v="1"/>
    <x v="1"/>
    <x v="1"/>
    <x v="3"/>
    <d v="2026-05-16T13:00:00"/>
    <d v="2026-05-16T14:30:00"/>
    <n v="1.5"/>
    <s v="INC032"/>
    <s v="B032"/>
    <n v="8"/>
    <n v="6.5"/>
    <n v="550"/>
    <n v="500"/>
    <n v="1600"/>
    <n v="2000"/>
    <n v="2400"/>
    <n v="6.5"/>
    <n v="0.8125"/>
    <n v="0.76923076923076927"/>
    <n v="0.90909090909090906"/>
    <n v="0.56818181818181812"/>
    <n v="50"/>
    <n v="2400"/>
    <n v="400"/>
    <n v="0.90909090909090906"/>
  </r>
  <r>
    <x v="32"/>
    <x v="2"/>
    <x v="2"/>
    <x v="2"/>
    <x v="0"/>
    <d v="2026-05-17T08:00:00"/>
    <d v="2026-05-17T10:00:00"/>
    <n v="2"/>
    <s v="INC033"/>
    <s v="B033"/>
    <n v="8"/>
    <n v="6"/>
    <n v="500"/>
    <n v="460"/>
    <n v="1500"/>
    <n v="2500"/>
    <n v="3000"/>
    <n v="6"/>
    <n v="0.75"/>
    <n v="0.76666666666666672"/>
    <n v="0.92"/>
    <n v="0.52900000000000014"/>
    <n v="40"/>
    <n v="3000"/>
    <n v="500"/>
    <n v="0.92"/>
  </r>
  <r>
    <x v="33"/>
    <x v="3"/>
    <x v="0"/>
    <x v="0"/>
    <x v="1"/>
    <d v="2026-05-17T15:00:00"/>
    <d v="2026-05-17T16:00:00"/>
    <n v="1"/>
    <s v="INC034"/>
    <s v="B034"/>
    <n v="7"/>
    <n v="6.5"/>
    <n v="480"/>
    <n v="460"/>
    <n v="1300"/>
    <n v="1800"/>
    <n v="1300"/>
    <n v="6"/>
    <n v="0.8571428571428571"/>
    <n v="0.76666666666666672"/>
    <n v="0.95833333333333337"/>
    <n v="0.62976190476190474"/>
    <n v="20"/>
    <n v="1300"/>
    <n v="-500"/>
    <n v="0.95833333333333337"/>
  </r>
  <r>
    <x v="34"/>
    <x v="4"/>
    <x v="1"/>
    <x v="1"/>
    <x v="2"/>
    <d v="2026-05-18T09:00:00"/>
    <d v="2026-05-18T11:30:00"/>
    <n v="2.5"/>
    <s v="INC035"/>
    <s v="B035"/>
    <n v="9"/>
    <n v="6.5"/>
    <n v="700"/>
    <n v="620"/>
    <n v="1600"/>
    <n v="3000"/>
    <n v="4000"/>
    <n v="6.5"/>
    <n v="0.72222222222222221"/>
    <n v="0.9538461538461539"/>
    <n v="0.88571428571428568"/>
    <n v="0.61015873015873012"/>
    <n v="80"/>
    <n v="4000"/>
    <n v="1000"/>
    <n v="0.88571428571428568"/>
  </r>
  <r>
    <x v="35"/>
    <x v="5"/>
    <x v="2"/>
    <x v="2"/>
    <x v="3"/>
    <d v="2026-05-18T12:00:00"/>
    <d v="2026-05-18T13:30:00"/>
    <n v="1.5"/>
    <s v="INC036"/>
    <s v="B036"/>
    <n v="8"/>
    <n v="6.5"/>
    <n v="520"/>
    <n v="480"/>
    <n v="1400"/>
    <n v="2000"/>
    <n v="2100"/>
    <n v="6.5"/>
    <n v="0.8125"/>
    <n v="0.73846153846153839"/>
    <n v="0.92307692307692313"/>
    <n v="0.55384615384615388"/>
    <n v="40"/>
    <n v="2100"/>
    <n v="100"/>
    <n v="0.92307692307692313"/>
  </r>
  <r>
    <x v="36"/>
    <x v="6"/>
    <x v="0"/>
    <x v="0"/>
    <x v="0"/>
    <d v="2026-05-19T08:30:00"/>
    <d v="2026-05-19T10:00:00"/>
    <n v="1.5"/>
    <s v="INC037"/>
    <s v="B037"/>
    <n v="8"/>
    <n v="6.5"/>
    <n v="600"/>
    <n v="560"/>
    <n v="1500"/>
    <n v="2000"/>
    <n v="2250"/>
    <n v="6.5"/>
    <n v="0.8125"/>
    <n v="0.86153846153846159"/>
    <n v="0.93333333333333335"/>
    <n v="0.65333333333333343"/>
    <n v="40"/>
    <n v="2250"/>
    <n v="250"/>
    <n v="0.93333333333333335"/>
  </r>
  <r>
    <x v="37"/>
    <x v="7"/>
    <x v="1"/>
    <x v="1"/>
    <x v="1"/>
    <d v="2026-05-19T14:00:00"/>
    <d v="2026-05-19T15:00:00"/>
    <n v="1"/>
    <s v="INC038"/>
    <s v="B038"/>
    <n v="8"/>
    <n v="7"/>
    <n v="650"/>
    <n v="630"/>
    <n v="1400"/>
    <n v="1800"/>
    <n v="1400"/>
    <n v="7"/>
    <n v="0.875"/>
    <n v="0.9"/>
    <n v="0.96923076923076923"/>
    <n v="0.7632692307692307"/>
    <n v="20"/>
    <n v="1400"/>
    <n v="-400"/>
    <n v="0.96923076923076923"/>
  </r>
  <r>
    <x v="38"/>
    <x v="8"/>
    <x v="2"/>
    <x v="2"/>
    <x v="2"/>
    <d v="2026-05-20T09:00:00"/>
    <d v="2026-05-20T11:00:00"/>
    <n v="2"/>
    <s v="INC039"/>
    <s v="B039"/>
    <n v="9"/>
    <n v="7"/>
    <n v="700"/>
    <n v="660"/>
    <n v="1500"/>
    <n v="2500"/>
    <n v="3000"/>
    <n v="7"/>
    <n v="0.77777777777777779"/>
    <n v="0.94285714285714295"/>
    <n v="0.94285714285714284"/>
    <n v="0.6914285714285715"/>
    <n v="40"/>
    <n v="3000"/>
    <n v="500"/>
    <n v="0.94285714285714284"/>
  </r>
  <r>
    <x v="39"/>
    <x v="9"/>
    <x v="0"/>
    <x v="0"/>
    <x v="3"/>
    <d v="2026-05-20T13:00:00"/>
    <d v="2026-05-20T15:00:00"/>
    <n v="2"/>
    <s v="INC040"/>
    <s v="B040"/>
    <n v="8"/>
    <n v="6"/>
    <n v="500"/>
    <n v="470"/>
    <n v="1600"/>
    <n v="2500"/>
    <n v="3200"/>
    <n v="6"/>
    <n v="0.75"/>
    <n v="0.78333333333333333"/>
    <n v="0.94"/>
    <n v="0.55225000000000002"/>
    <n v="30"/>
    <n v="3200"/>
    <n v="700"/>
    <n v="0.94"/>
  </r>
  <r>
    <x v="40"/>
    <x v="0"/>
    <x v="1"/>
    <x v="1"/>
    <x v="0"/>
    <d v="2026-05-21T08:00:00"/>
    <d v="2026-05-21T09:30:00"/>
    <n v="1.5"/>
    <s v="INC041"/>
    <s v="B041"/>
    <n v="7"/>
    <n v="6"/>
    <n v="480"/>
    <n v="450"/>
    <n v="1300"/>
    <n v="2000"/>
    <n v="1950"/>
    <n v="5.5"/>
    <n v="0.7857142857142857"/>
    <n v="0.81818181818181823"/>
    <n v="0.9375"/>
    <n v="0.60267857142857151"/>
    <n v="30"/>
    <n v="1950"/>
    <n v="-50"/>
    <n v="0.9375"/>
  </r>
  <r>
    <x v="41"/>
    <x v="1"/>
    <x v="2"/>
    <x v="2"/>
    <x v="1"/>
    <d v="2026-05-21T14:00:00"/>
    <d v="2026-05-21T15:00:00"/>
    <n v="1"/>
    <s v="INC042"/>
    <s v="B042"/>
    <n v="8"/>
    <n v="7"/>
    <n v="600"/>
    <n v="580"/>
    <n v="1400"/>
    <n v="1800"/>
    <n v="1400"/>
    <n v="7"/>
    <n v="0.875"/>
    <n v="0.82857142857142851"/>
    <n v="0.96666666666666667"/>
    <n v="0.70083333333333331"/>
    <n v="20"/>
    <n v="1400"/>
    <n v="-400"/>
    <n v="0.96666666666666667"/>
  </r>
  <r>
    <x v="42"/>
    <x v="2"/>
    <x v="0"/>
    <x v="0"/>
    <x v="2"/>
    <d v="2026-05-22T09:00:00"/>
    <d v="2026-05-22T11:00:00"/>
    <n v="2"/>
    <s v="INC043"/>
    <s v="B043"/>
    <n v="9"/>
    <n v="7"/>
    <n v="700"/>
    <n v="650"/>
    <n v="1500"/>
    <n v="2500"/>
    <n v="3000"/>
    <n v="7"/>
    <n v="0.77777777777777779"/>
    <n v="0.9285714285714286"/>
    <n v="0.9285714285714286"/>
    <n v="0.67063492063492069"/>
    <n v="50"/>
    <n v="3000"/>
    <n v="500"/>
    <n v="0.9285714285714286"/>
  </r>
  <r>
    <x v="43"/>
    <x v="3"/>
    <x v="1"/>
    <x v="1"/>
    <x v="3"/>
    <d v="2026-05-22T13:00:00"/>
    <d v="2026-05-22T14:30:00"/>
    <n v="1.5"/>
    <s v="INC044"/>
    <s v="B044"/>
    <n v="8"/>
    <n v="6.5"/>
    <n v="550"/>
    <n v="500"/>
    <n v="1600"/>
    <n v="2000"/>
    <n v="2400"/>
    <n v="6.5"/>
    <n v="0.8125"/>
    <n v="0.76923076923076927"/>
    <n v="0.90909090909090906"/>
    <n v="0.56818181818181812"/>
    <n v="50"/>
    <n v="2400"/>
    <n v="400"/>
    <n v="0.90909090909090906"/>
  </r>
  <r>
    <x v="44"/>
    <x v="4"/>
    <x v="2"/>
    <x v="2"/>
    <x v="0"/>
    <d v="2026-05-23T08:00:00"/>
    <d v="2026-05-23T10:00:00"/>
    <n v="2"/>
    <s v="INC045"/>
    <s v="B045"/>
    <n v="8"/>
    <n v="6"/>
    <n v="500"/>
    <n v="460"/>
    <n v="1500"/>
    <n v="2500"/>
    <n v="3000"/>
    <n v="6"/>
    <n v="0.75"/>
    <n v="0.76666666666666672"/>
    <n v="0.92"/>
    <n v="0.52900000000000014"/>
    <n v="40"/>
    <n v="3000"/>
    <n v="500"/>
    <n v="0.92"/>
  </r>
  <r>
    <x v="45"/>
    <x v="5"/>
    <x v="0"/>
    <x v="0"/>
    <x v="1"/>
    <d v="2026-05-23T15:00:00"/>
    <d v="2026-05-23T16:00:00"/>
    <n v="1"/>
    <s v="INC046"/>
    <s v="B046"/>
    <n v="7"/>
    <n v="6.5"/>
    <n v="480"/>
    <n v="460"/>
    <n v="1300"/>
    <n v="1800"/>
    <n v="1300"/>
    <n v="6"/>
    <n v="0.8571428571428571"/>
    <n v="0.76666666666666672"/>
    <n v="0.95833333333333337"/>
    <n v="0.62976190476190474"/>
    <n v="20"/>
    <n v="1300"/>
    <n v="-500"/>
    <n v="0.95833333333333337"/>
  </r>
  <r>
    <x v="46"/>
    <x v="6"/>
    <x v="1"/>
    <x v="1"/>
    <x v="2"/>
    <d v="2026-05-24T09:00:00"/>
    <d v="2026-05-24T11:30:00"/>
    <n v="2.5"/>
    <s v="INC047"/>
    <s v="B047"/>
    <n v="9"/>
    <n v="6.5"/>
    <n v="700"/>
    <n v="620"/>
    <n v="1600"/>
    <n v="3000"/>
    <n v="4000"/>
    <n v="6.5"/>
    <n v="0.72222222222222221"/>
    <n v="0.9538461538461539"/>
    <n v="0.88571428571428568"/>
    <n v="0.61015873015873012"/>
    <n v="80"/>
    <n v="4000"/>
    <n v="1000"/>
    <n v="0.88571428571428568"/>
  </r>
  <r>
    <x v="47"/>
    <x v="7"/>
    <x v="2"/>
    <x v="2"/>
    <x v="3"/>
    <d v="2026-05-24T12:00:00"/>
    <d v="2026-05-24T13:30:00"/>
    <n v="1.5"/>
    <s v="INC048"/>
    <s v="B048"/>
    <n v="8"/>
    <n v="6.5"/>
    <n v="520"/>
    <n v="480"/>
    <n v="1400"/>
    <n v="2000"/>
    <n v="2100"/>
    <n v="6.5"/>
    <n v="0.8125"/>
    <n v="0.73846153846153839"/>
    <n v="0.92307692307692313"/>
    <n v="0.55384615384615388"/>
    <n v="40"/>
    <n v="2100"/>
    <n v="100"/>
    <n v="0.92307692307692313"/>
  </r>
  <r>
    <x v="48"/>
    <x v="8"/>
    <x v="0"/>
    <x v="0"/>
    <x v="0"/>
    <d v="2026-05-25T08:30:00"/>
    <d v="2026-05-25T10:00:00"/>
    <n v="1.5"/>
    <s v="INC049"/>
    <s v="B049"/>
    <n v="8"/>
    <n v="6.5"/>
    <n v="600"/>
    <n v="560"/>
    <n v="1500"/>
    <n v="2000"/>
    <n v="2250"/>
    <n v="6.5"/>
    <n v="0.8125"/>
    <n v="0.86153846153846159"/>
    <n v="0.93333333333333335"/>
    <n v="0.65333333333333343"/>
    <n v="40"/>
    <n v="2250"/>
    <n v="250"/>
    <n v="0.93333333333333335"/>
  </r>
  <r>
    <x v="49"/>
    <x v="9"/>
    <x v="1"/>
    <x v="1"/>
    <x v="1"/>
    <d v="2026-05-25T14:00:00"/>
    <d v="2026-05-25T15:00:00"/>
    <n v="1"/>
    <s v="INC050"/>
    <s v="B050"/>
    <n v="8"/>
    <n v="7"/>
    <n v="650"/>
    <n v="630"/>
    <n v="1400"/>
    <n v="1800"/>
    <n v="1400"/>
    <n v="7"/>
    <n v="0.875"/>
    <n v="0.9"/>
    <n v="0.96923076923076923"/>
    <n v="0.7632692307692307"/>
    <n v="20"/>
    <n v="1400"/>
    <n v="-400"/>
    <n v="0.969230769230769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M1"/>
    <n v="12000"/>
    <s v="Shift1"/>
    <x v="0"/>
    <s v="Maintenance"/>
    <x v="0"/>
    <d v="2026-05-01T10:00:00"/>
    <n v="2"/>
    <s v="INC001"/>
    <s v="B001"/>
    <n v="8"/>
    <n v="6"/>
    <n v="500"/>
    <n v="420"/>
    <n v="1500"/>
    <n v="2500"/>
    <n v="3000"/>
    <n v="6"/>
    <n v="0.75"/>
    <n v="0.70000000000000007"/>
    <n v="0.84"/>
    <n v="0.441"/>
    <n v="80"/>
    <n v="3000"/>
    <n v="500"/>
    <n v="0.84"/>
    <n v="2"/>
  </r>
  <r>
    <s v="M2"/>
    <n v="8000"/>
    <s v="Shift2"/>
    <x v="1"/>
    <s v="Operator Error"/>
    <x v="1"/>
    <d v="2026-05-01T15:30:00"/>
    <n v="1.5"/>
    <s v="INC002"/>
    <s v="B002"/>
    <n v="8"/>
    <n v="6.5"/>
    <n v="600"/>
    <n v="550"/>
    <n v="1400"/>
    <n v="2000"/>
    <n v="2100"/>
    <n v="6.5"/>
    <n v="0.8125"/>
    <n v="0.84615384615384615"/>
    <n v="0.91666666666666663"/>
    <n v="0.63020833333333326"/>
    <n v="50"/>
    <n v="2100"/>
    <n v="100"/>
    <n v="0.91666666666666663"/>
    <n v="1.5"/>
  </r>
  <r>
    <s v="M3"/>
    <n v="15000"/>
    <s v="Shift3"/>
    <x v="2"/>
    <s v="Supply Shortage"/>
    <x v="2"/>
    <d v="2026-05-02T11:30:00"/>
    <n v="2.5"/>
    <s v="INC003"/>
    <s v="B003"/>
    <n v="9"/>
    <n v="6.5"/>
    <n v="700"/>
    <n v="580"/>
    <n v="1600"/>
    <n v="3000"/>
    <n v="4000"/>
    <n v="6.5"/>
    <n v="0.72222222222222221"/>
    <n v="0.89230769230769225"/>
    <n v="0.82857142857142863"/>
    <n v="0.53396825396825398"/>
    <n v="120"/>
    <n v="4000"/>
    <n v="1000"/>
    <n v="0.82857142857142863"/>
    <n v="2.5"/>
  </r>
  <r>
    <s v="M4"/>
    <n v="5000"/>
    <s v="Shift1"/>
    <x v="0"/>
    <s v="Machine Failure"/>
    <x v="3"/>
    <d v="2026-05-02T14:00:00"/>
    <n v="1"/>
    <s v="INC004"/>
    <s v="B004"/>
    <n v="7"/>
    <n v="6"/>
    <n v="450"/>
    <n v="400"/>
    <n v="1300"/>
    <n v="1500"/>
    <n v="1300"/>
    <n v="6"/>
    <n v="0.8571428571428571"/>
    <n v="0.66666666666666663"/>
    <n v="0.88888888888888884"/>
    <n v="0.50793650793650791"/>
    <n v="50"/>
    <n v="1300"/>
    <n v="-200"/>
    <n v="0.88888888888888884"/>
    <n v="1"/>
  </r>
  <r>
    <s v="M5"/>
    <n v="11000"/>
    <s v="Shift2"/>
    <x v="1"/>
    <s v="Maintenance"/>
    <x v="4"/>
    <d v="2026-05-03T10:00:00"/>
    <n v="1.5"/>
    <s v="INC005"/>
    <s v="B005"/>
    <n v="8"/>
    <n v="6.5"/>
    <n v="520"/>
    <n v="480"/>
    <n v="1500"/>
    <n v="2000"/>
    <n v="2250"/>
    <n v="6.5"/>
    <n v="0.8125"/>
    <n v="0.73846153846153839"/>
    <n v="0.92307692307692313"/>
    <n v="0.55384615384615388"/>
    <n v="40"/>
    <n v="2250"/>
    <n v="250"/>
    <n v="0.92307692307692313"/>
    <n v="1.5"/>
  </r>
  <r>
    <s v="M6"/>
    <n v="9000"/>
    <s v="Shift3"/>
    <x v="2"/>
    <s v="Operator Error"/>
    <x v="5"/>
    <d v="2026-05-03T16:00:00"/>
    <n v="1"/>
    <s v="INC006"/>
    <s v="B006"/>
    <n v="8"/>
    <n v="7"/>
    <n v="600"/>
    <n v="570"/>
    <n v="1400"/>
    <n v="1800"/>
    <n v="1400"/>
    <n v="7"/>
    <n v="0.875"/>
    <n v="0.81428571428571428"/>
    <n v="0.95"/>
    <n v="0.676875"/>
    <n v="30"/>
    <n v="1400"/>
    <n v="-400"/>
    <n v="0.95"/>
    <n v="1"/>
  </r>
  <r>
    <s v="M7"/>
    <n v="7000"/>
    <s v="Shift1"/>
    <x v="0"/>
    <s v="Supply Shortage"/>
    <x v="6"/>
    <d v="2026-05-04T11:00:00"/>
    <n v="2"/>
    <s v="INC007"/>
    <s v="B007"/>
    <n v="9"/>
    <n v="7"/>
    <n v="650"/>
    <n v="600"/>
    <n v="1500"/>
    <n v="2500"/>
    <n v="3000"/>
    <n v="7"/>
    <n v="0.77777777777777779"/>
    <n v="0.8571428571428571"/>
    <n v="0.92307692307692313"/>
    <n v="0.61538461538461542"/>
    <n v="50"/>
    <n v="3000"/>
    <n v="500"/>
    <n v="0.92307692307692313"/>
    <n v="2"/>
  </r>
  <r>
    <s v="M8"/>
    <n v="13000"/>
    <s v="Shift2"/>
    <x v="1"/>
    <s v="Machine Failure"/>
    <x v="7"/>
    <d v="2026-05-04T14:30:00"/>
    <n v="2.5"/>
    <s v="INC008"/>
    <s v="B008"/>
    <n v="8"/>
    <n v="5.5"/>
    <n v="500"/>
    <n v="420"/>
    <n v="1600"/>
    <n v="2800"/>
    <n v="4000"/>
    <n v="5.5"/>
    <n v="0.6875"/>
    <n v="0.76363636363636367"/>
    <n v="0.84"/>
    <n v="0.441"/>
    <n v="80"/>
    <n v="4000"/>
    <n v="1200"/>
    <n v="0.84"/>
    <n v="2.5"/>
  </r>
  <r>
    <s v="M9"/>
    <n v="6000"/>
    <s v="Shift3"/>
    <x v="2"/>
    <s v="Maintenance"/>
    <x v="8"/>
    <d v="2026-05-05T09:30:00"/>
    <n v="1.5"/>
    <s v="INC009"/>
    <s v="B009"/>
    <n v="7"/>
    <n v="6"/>
    <n v="480"/>
    <n v="450"/>
    <n v="1300"/>
    <n v="2000"/>
    <n v="1950"/>
    <n v="5.5"/>
    <n v="0.7857142857142857"/>
    <n v="0.81818181818181823"/>
    <n v="0.9375"/>
    <n v="0.60267857142857151"/>
    <n v="30"/>
    <n v="1950"/>
    <n v="-50"/>
    <n v="0.9375"/>
    <n v="1"/>
  </r>
  <r>
    <s v="M10"/>
    <n v="10000"/>
    <s v="Shift1"/>
    <x v="0"/>
    <s v="Operator Error"/>
    <x v="9"/>
    <d v="2026-05-05T15:00:00"/>
    <n v="1"/>
    <s v="INC010"/>
    <s v="B010"/>
    <n v="8"/>
    <n v="7"/>
    <n v="600"/>
    <n v="580"/>
    <n v="1400"/>
    <n v="1800"/>
    <n v="1400"/>
    <n v="7"/>
    <n v="0.875"/>
    <n v="0.82857142857142851"/>
    <n v="0.96666666666666667"/>
    <n v="0.70083333333333331"/>
    <n v="20"/>
    <n v="1400"/>
    <n v="-400"/>
    <n v="0.96666666666666667"/>
    <n v="1"/>
  </r>
  <r>
    <s v="M11"/>
    <n v="12000"/>
    <s v="Shift2"/>
    <x v="1"/>
    <s v="Supply Shortage"/>
    <x v="10"/>
    <d v="2026-05-06T11:00:00"/>
    <n v="2"/>
    <s v="INC011"/>
    <s v="B011"/>
    <n v="9"/>
    <n v="7"/>
    <n v="700"/>
    <n v="650"/>
    <n v="1500"/>
    <n v="2500"/>
    <n v="3000"/>
    <n v="7"/>
    <n v="0.77777777777777779"/>
    <n v="0.9285714285714286"/>
    <n v="0.9285714285714286"/>
    <n v="0.67063492063492069"/>
    <n v="50"/>
    <n v="3000"/>
    <n v="500"/>
    <n v="0.9285714285714286"/>
    <n v="2"/>
  </r>
  <r>
    <s v="M12"/>
    <n v="8000"/>
    <s v="Shift3"/>
    <x v="2"/>
    <s v="Machine Failure"/>
    <x v="11"/>
    <d v="2026-05-06T14:30:00"/>
    <n v="1.5"/>
    <s v="INC012"/>
    <s v="B012"/>
    <n v="8"/>
    <n v="6.5"/>
    <n v="550"/>
    <n v="500"/>
    <n v="1600"/>
    <n v="2000"/>
    <n v="2400"/>
    <n v="6.5"/>
    <n v="0.8125"/>
    <n v="0.76923076923076927"/>
    <n v="0.90909090909090906"/>
    <n v="0.56818181818181812"/>
    <n v="50"/>
    <n v="2400"/>
    <n v="400"/>
    <n v="0.90909090909090906"/>
    <n v="1.5"/>
  </r>
  <r>
    <s v="M13"/>
    <n v="15000"/>
    <s v="Shift1"/>
    <x v="0"/>
    <s v="Maintenance"/>
    <x v="12"/>
    <d v="2026-05-07T10:00:00"/>
    <n v="2"/>
    <s v="INC013"/>
    <s v="B013"/>
    <n v="8"/>
    <n v="6"/>
    <n v="500"/>
    <n v="460"/>
    <n v="1500"/>
    <n v="2500"/>
    <n v="3000"/>
    <n v="6"/>
    <n v="0.75"/>
    <n v="0.76666666666666672"/>
    <n v="0.92"/>
    <n v="0.52900000000000014"/>
    <n v="40"/>
    <n v="3000"/>
    <n v="500"/>
    <n v="0.92"/>
    <n v="2"/>
  </r>
  <r>
    <s v="M14"/>
    <n v="5000"/>
    <s v="Shift2"/>
    <x v="1"/>
    <s v="Operator Error"/>
    <x v="13"/>
    <d v="2026-05-07T16:00:00"/>
    <n v="1"/>
    <s v="INC014"/>
    <s v="B014"/>
    <n v="7"/>
    <n v="6.5"/>
    <n v="480"/>
    <n v="460"/>
    <n v="1300"/>
    <n v="1800"/>
    <n v="1300"/>
    <n v="6"/>
    <n v="0.8571428571428571"/>
    <n v="0.76666666666666672"/>
    <n v="0.95833333333333337"/>
    <n v="0.62976190476190474"/>
    <n v="20"/>
    <n v="1300"/>
    <n v="-500"/>
    <n v="0.95833333333333337"/>
    <n v="0.5"/>
  </r>
  <r>
    <s v="M15"/>
    <n v="11000"/>
    <s v="Shift3"/>
    <x v="2"/>
    <s v="Supply Shortage"/>
    <x v="14"/>
    <d v="2026-05-08T11:30:00"/>
    <n v="2.5"/>
    <s v="INC015"/>
    <s v="B015"/>
    <n v="9"/>
    <n v="6.5"/>
    <n v="700"/>
    <n v="620"/>
    <n v="1600"/>
    <n v="3000"/>
    <n v="4000"/>
    <n v="6.5"/>
    <n v="0.72222222222222221"/>
    <n v="0.9538461538461539"/>
    <n v="0.88571428571428568"/>
    <n v="0.61015873015873012"/>
    <n v="80"/>
    <n v="4000"/>
    <n v="1000"/>
    <n v="0.88571428571428568"/>
    <n v="2.5"/>
  </r>
  <r>
    <s v="M16"/>
    <n v="9000"/>
    <s v="Shift1"/>
    <x v="0"/>
    <s v="Machine Failure"/>
    <x v="15"/>
    <d v="2026-05-08T13:30:00"/>
    <n v="1.5"/>
    <s v="INC016"/>
    <s v="B016"/>
    <n v="8"/>
    <n v="6.5"/>
    <n v="520"/>
    <n v="480"/>
    <n v="1400"/>
    <n v="2000"/>
    <n v="2100"/>
    <n v="6.5"/>
    <n v="0.8125"/>
    <n v="0.73846153846153839"/>
    <n v="0.92307692307692313"/>
    <n v="0.55384615384615388"/>
    <n v="40"/>
    <n v="2100"/>
    <n v="100"/>
    <n v="0.92307692307692313"/>
    <n v="1.5"/>
  </r>
  <r>
    <s v="M17"/>
    <n v="7000"/>
    <s v="Shift2"/>
    <x v="1"/>
    <s v="Maintenance"/>
    <x v="16"/>
    <d v="2026-05-09T10:00:00"/>
    <n v="1.5"/>
    <s v="INC017"/>
    <s v="B017"/>
    <n v="8"/>
    <n v="6.5"/>
    <n v="600"/>
    <n v="560"/>
    <n v="1500"/>
    <n v="2000"/>
    <n v="2250"/>
    <n v="6.5"/>
    <n v="0.8125"/>
    <n v="0.86153846153846159"/>
    <n v="0.93333333333333335"/>
    <n v="0.65333333333333343"/>
    <n v="40"/>
    <n v="2250"/>
    <n v="250"/>
    <n v="0.93333333333333335"/>
    <n v="1.5"/>
  </r>
  <r>
    <s v="M18"/>
    <n v="13000"/>
    <s v="Shift3"/>
    <x v="2"/>
    <s v="Operator Error"/>
    <x v="17"/>
    <d v="2026-05-09T15:00:00"/>
    <n v="1"/>
    <s v="INC018"/>
    <s v="B018"/>
    <n v="8"/>
    <n v="7"/>
    <n v="650"/>
    <n v="630"/>
    <n v="1400"/>
    <n v="1800"/>
    <n v="1400"/>
    <n v="7"/>
    <n v="0.875"/>
    <n v="0.9"/>
    <n v="0.96923076923076923"/>
    <n v="0.7632692307692307"/>
    <n v="20"/>
    <n v="1400"/>
    <n v="-400"/>
    <n v="0.96923076923076923"/>
    <n v="1"/>
  </r>
  <r>
    <s v="M19"/>
    <n v="6000"/>
    <s v="Shift1"/>
    <x v="0"/>
    <s v="Supply Shortage"/>
    <x v="18"/>
    <d v="2026-05-10T11:00:00"/>
    <n v="2"/>
    <s v="INC019"/>
    <s v="B019"/>
    <n v="9"/>
    <n v="7"/>
    <n v="700"/>
    <n v="660"/>
    <n v="1500"/>
    <n v="2500"/>
    <n v="3000"/>
    <n v="7"/>
    <n v="0.77777777777777779"/>
    <n v="0.94285714285714295"/>
    <n v="0.94285714285714284"/>
    <n v="0.6914285714285715"/>
    <n v="40"/>
    <n v="3000"/>
    <n v="500"/>
    <n v="0.94285714285714284"/>
    <n v="2"/>
  </r>
  <r>
    <s v="M20"/>
    <n v="10000"/>
    <s v="Shift2"/>
    <x v="1"/>
    <s v="Machine Failure"/>
    <x v="19"/>
    <d v="2026-05-10T15:00:00"/>
    <n v="2"/>
    <s v="INC020"/>
    <s v="B020"/>
    <n v="8"/>
    <n v="6"/>
    <n v="500"/>
    <n v="470"/>
    <n v="1600"/>
    <n v="2500"/>
    <n v="3200"/>
    <n v="6"/>
    <n v="0.75"/>
    <n v="0.78333333333333333"/>
    <n v="0.94"/>
    <n v="0.55225000000000002"/>
    <n v="30"/>
    <n v="3200"/>
    <n v="700"/>
    <n v="0.94"/>
    <n v="2"/>
  </r>
  <r>
    <s v="M21"/>
    <n v="12000"/>
    <s v="Shift3"/>
    <x v="2"/>
    <s v="Maintenance"/>
    <x v="20"/>
    <d v="2026-05-11T09:30:00"/>
    <n v="1.5"/>
    <s v="INC021"/>
    <s v="B021"/>
    <n v="7"/>
    <n v="6"/>
    <n v="480"/>
    <n v="450"/>
    <n v="1300"/>
    <n v="2000"/>
    <n v="1950"/>
    <n v="5.5"/>
    <n v="0.7857142857142857"/>
    <n v="0.81818181818181823"/>
    <n v="0.9375"/>
    <n v="0.60267857142857151"/>
    <n v="30"/>
    <n v="1950"/>
    <n v="-50"/>
    <n v="0.9375"/>
    <n v="1"/>
  </r>
  <r>
    <s v="M22"/>
    <n v="8000"/>
    <s v="Shift1"/>
    <x v="0"/>
    <s v="Operator Error"/>
    <x v="21"/>
    <d v="2026-05-11T15:00:00"/>
    <n v="1"/>
    <s v="INC022"/>
    <s v="B022"/>
    <n v="8"/>
    <n v="7"/>
    <n v="600"/>
    <n v="580"/>
    <n v="1400"/>
    <n v="1800"/>
    <n v="1400"/>
    <n v="7"/>
    <n v="0.875"/>
    <n v="0.82857142857142851"/>
    <n v="0.96666666666666667"/>
    <n v="0.70083333333333331"/>
    <n v="20"/>
    <n v="1400"/>
    <n v="-400"/>
    <n v="0.96666666666666667"/>
    <n v="1"/>
  </r>
  <r>
    <s v="M23"/>
    <n v="15000"/>
    <s v="Shift2"/>
    <x v="1"/>
    <s v="Supply Shortage"/>
    <x v="22"/>
    <d v="2026-05-12T11:00:00"/>
    <n v="2"/>
    <s v="INC023"/>
    <s v="B023"/>
    <n v="9"/>
    <n v="7"/>
    <n v="700"/>
    <n v="650"/>
    <n v="1500"/>
    <n v="2500"/>
    <n v="3000"/>
    <n v="7"/>
    <n v="0.77777777777777779"/>
    <n v="0.9285714285714286"/>
    <n v="0.9285714285714286"/>
    <n v="0.67063492063492069"/>
    <n v="50"/>
    <n v="3000"/>
    <n v="500"/>
    <n v="0.9285714285714286"/>
    <n v="2"/>
  </r>
  <r>
    <s v="M24"/>
    <n v="5000"/>
    <s v="Shift3"/>
    <x v="2"/>
    <s v="Machine Failure"/>
    <x v="23"/>
    <d v="2026-05-12T14:30:00"/>
    <n v="1.5"/>
    <s v="INC024"/>
    <s v="B024"/>
    <n v="8"/>
    <n v="6.5"/>
    <n v="550"/>
    <n v="500"/>
    <n v="1600"/>
    <n v="2000"/>
    <n v="2400"/>
    <n v="6.5"/>
    <n v="0.8125"/>
    <n v="0.76923076923076927"/>
    <n v="0.90909090909090906"/>
    <n v="0.56818181818181812"/>
    <n v="50"/>
    <n v="2400"/>
    <n v="400"/>
    <n v="0.90909090909090906"/>
    <n v="1.5"/>
  </r>
  <r>
    <s v="M25"/>
    <n v="11000"/>
    <s v="Shift1"/>
    <x v="0"/>
    <s v="Maintenance"/>
    <x v="24"/>
    <d v="2026-05-13T10:00:00"/>
    <n v="2"/>
    <s v="INC025"/>
    <s v="B025"/>
    <n v="8"/>
    <n v="6"/>
    <n v="500"/>
    <n v="460"/>
    <n v="1500"/>
    <n v="2500"/>
    <n v="3000"/>
    <n v="6"/>
    <n v="0.75"/>
    <n v="0.76666666666666672"/>
    <n v="0.92"/>
    <n v="0.52900000000000014"/>
    <n v="40"/>
    <n v="3000"/>
    <n v="500"/>
    <n v="0.92"/>
    <n v="2"/>
  </r>
  <r>
    <s v="M26"/>
    <n v="9000"/>
    <s v="Shift2"/>
    <x v="1"/>
    <s v="Operator Error"/>
    <x v="25"/>
    <d v="2026-05-13T16:00:00"/>
    <n v="1"/>
    <s v="INC026"/>
    <s v="B026"/>
    <n v="7"/>
    <n v="6.5"/>
    <n v="480"/>
    <n v="460"/>
    <n v="1300"/>
    <n v="1800"/>
    <n v="1300"/>
    <n v="6"/>
    <n v="0.8571428571428571"/>
    <n v="0.76666666666666672"/>
    <n v="0.95833333333333337"/>
    <n v="0.62976190476190474"/>
    <n v="20"/>
    <n v="1300"/>
    <n v="-500"/>
    <n v="0.95833333333333337"/>
    <n v="0.5"/>
  </r>
  <r>
    <s v="M27"/>
    <n v="7000"/>
    <s v="Shift3"/>
    <x v="2"/>
    <s v="Supply Shortage"/>
    <x v="26"/>
    <d v="2026-05-14T11:30:00"/>
    <n v="2.5"/>
    <s v="INC027"/>
    <s v="B027"/>
    <n v="9"/>
    <n v="6.5"/>
    <n v="700"/>
    <n v="620"/>
    <n v="1600"/>
    <n v="3000"/>
    <n v="4000"/>
    <n v="6.5"/>
    <n v="0.72222222222222221"/>
    <n v="0.9538461538461539"/>
    <n v="0.88571428571428568"/>
    <n v="0.61015873015873012"/>
    <n v="80"/>
    <n v="4000"/>
    <n v="1000"/>
    <n v="0.88571428571428568"/>
    <n v="2.5"/>
  </r>
  <r>
    <s v="M28"/>
    <n v="13000"/>
    <s v="Shift1"/>
    <x v="0"/>
    <s v="Machine Failure"/>
    <x v="27"/>
    <d v="2026-05-14T13:30:00"/>
    <n v="1.5"/>
    <s v="INC028"/>
    <s v="B028"/>
    <n v="8"/>
    <n v="6.5"/>
    <n v="520"/>
    <n v="480"/>
    <n v="1400"/>
    <n v="2000"/>
    <n v="2100"/>
    <n v="6.5"/>
    <n v="0.8125"/>
    <n v="0.73846153846153839"/>
    <n v="0.92307692307692313"/>
    <n v="0.55384615384615388"/>
    <n v="40"/>
    <n v="2100"/>
    <n v="100"/>
    <n v="0.92307692307692313"/>
    <n v="1.5"/>
  </r>
  <r>
    <s v="M29"/>
    <n v="6000"/>
    <s v="Shift2"/>
    <x v="1"/>
    <s v="Maintenance"/>
    <x v="28"/>
    <d v="2026-05-15T10:00:00"/>
    <n v="1.5"/>
    <s v="INC029"/>
    <s v="B029"/>
    <n v="8"/>
    <n v="6.5"/>
    <n v="600"/>
    <n v="560"/>
    <n v="1500"/>
    <n v="2000"/>
    <n v="2250"/>
    <n v="6.5"/>
    <n v="0.8125"/>
    <n v="0.86153846153846159"/>
    <n v="0.93333333333333335"/>
    <n v="0.65333333333333343"/>
    <n v="40"/>
    <n v="2250"/>
    <n v="250"/>
    <n v="0.93333333333333335"/>
    <n v="1.5"/>
  </r>
  <r>
    <s v="M30"/>
    <n v="10000"/>
    <s v="Shift3"/>
    <x v="2"/>
    <s v="Operator Error"/>
    <x v="29"/>
    <d v="2026-05-15T15:00:00"/>
    <n v="1"/>
    <s v="INC030"/>
    <s v="B030"/>
    <n v="8"/>
    <n v="7"/>
    <n v="650"/>
    <n v="630"/>
    <n v="1400"/>
    <n v="1800"/>
    <n v="1400"/>
    <n v="7"/>
    <n v="0.875"/>
    <n v="0.9"/>
    <n v="0.96923076923076923"/>
    <n v="0.7632692307692307"/>
    <n v="20"/>
    <n v="1400"/>
    <n v="-400"/>
    <n v="0.96923076923076923"/>
    <n v="1"/>
  </r>
  <r>
    <s v="M31"/>
    <n v="12000"/>
    <s v="Shift1"/>
    <x v="0"/>
    <s v="Supply Shortage"/>
    <x v="30"/>
    <d v="2026-05-16T11:00:00"/>
    <n v="2"/>
    <s v="INC031"/>
    <s v="B031"/>
    <n v="9"/>
    <n v="7"/>
    <n v="700"/>
    <n v="660"/>
    <n v="1500"/>
    <n v="2500"/>
    <n v="3000"/>
    <n v="7"/>
    <n v="0.77777777777777779"/>
    <n v="0.94285714285714295"/>
    <n v="0.94285714285714284"/>
    <n v="0.6914285714285715"/>
    <n v="40"/>
    <n v="3000"/>
    <n v="500"/>
    <n v="0.94285714285714284"/>
    <n v="2"/>
  </r>
  <r>
    <s v="M32"/>
    <n v="8000"/>
    <s v="Shift2"/>
    <x v="1"/>
    <s v="Machine Failure"/>
    <x v="31"/>
    <d v="2026-05-16T14:30:00"/>
    <n v="1.5"/>
    <s v="INC032"/>
    <s v="B032"/>
    <n v="8"/>
    <n v="6.5"/>
    <n v="550"/>
    <n v="500"/>
    <n v="1600"/>
    <n v="2000"/>
    <n v="2400"/>
    <n v="6.5"/>
    <n v="0.8125"/>
    <n v="0.76923076923076927"/>
    <n v="0.90909090909090906"/>
    <n v="0.56818181818181812"/>
    <n v="50"/>
    <n v="2400"/>
    <n v="400"/>
    <n v="0.90909090909090906"/>
    <n v="1.5"/>
  </r>
  <r>
    <s v="M33"/>
    <n v="15000"/>
    <s v="Shift3"/>
    <x v="2"/>
    <s v="Maintenance"/>
    <x v="32"/>
    <d v="2026-05-17T10:00:00"/>
    <n v="2"/>
    <s v="INC033"/>
    <s v="B033"/>
    <n v="8"/>
    <n v="6"/>
    <n v="500"/>
    <n v="460"/>
    <n v="1500"/>
    <n v="2500"/>
    <n v="3000"/>
    <n v="6"/>
    <n v="0.75"/>
    <n v="0.76666666666666672"/>
    <n v="0.92"/>
    <n v="0.52900000000000014"/>
    <n v="40"/>
    <n v="3000"/>
    <n v="500"/>
    <n v="0.92"/>
    <n v="2"/>
  </r>
  <r>
    <s v="M34"/>
    <n v="5000"/>
    <s v="Shift1"/>
    <x v="0"/>
    <s v="Operator Error"/>
    <x v="33"/>
    <d v="2026-05-17T16:00:00"/>
    <n v="1"/>
    <s v="INC034"/>
    <s v="B034"/>
    <n v="7"/>
    <n v="6.5"/>
    <n v="480"/>
    <n v="460"/>
    <n v="1300"/>
    <n v="1800"/>
    <n v="1300"/>
    <n v="6"/>
    <n v="0.8571428571428571"/>
    <n v="0.76666666666666672"/>
    <n v="0.95833333333333337"/>
    <n v="0.62976190476190474"/>
    <n v="20"/>
    <n v="1300"/>
    <n v="-500"/>
    <n v="0.95833333333333337"/>
    <n v="0.5"/>
  </r>
  <r>
    <s v="M35"/>
    <n v="11000"/>
    <s v="Shift2"/>
    <x v="1"/>
    <s v="Supply Shortage"/>
    <x v="34"/>
    <d v="2026-05-18T11:30:00"/>
    <n v="2.5"/>
    <s v="INC035"/>
    <s v="B035"/>
    <n v="9"/>
    <n v="6.5"/>
    <n v="700"/>
    <n v="620"/>
    <n v="1600"/>
    <n v="3000"/>
    <n v="4000"/>
    <n v="6.5"/>
    <n v="0.72222222222222221"/>
    <n v="0.9538461538461539"/>
    <n v="0.88571428571428568"/>
    <n v="0.61015873015873012"/>
    <n v="80"/>
    <n v="4000"/>
    <n v="1000"/>
    <n v="0.88571428571428568"/>
    <n v="2.5"/>
  </r>
  <r>
    <s v="M36"/>
    <n v="9000"/>
    <s v="Shift3"/>
    <x v="2"/>
    <s v="Machine Failure"/>
    <x v="35"/>
    <d v="2026-05-18T13:30:00"/>
    <n v="1.5"/>
    <s v="INC036"/>
    <s v="B036"/>
    <n v="8"/>
    <n v="6.5"/>
    <n v="520"/>
    <n v="480"/>
    <n v="1400"/>
    <n v="2000"/>
    <n v="2100"/>
    <n v="6.5"/>
    <n v="0.8125"/>
    <n v="0.73846153846153839"/>
    <n v="0.92307692307692313"/>
    <n v="0.55384615384615388"/>
    <n v="40"/>
    <n v="2100"/>
    <n v="100"/>
    <n v="0.92307692307692313"/>
    <n v="1.5"/>
  </r>
  <r>
    <s v="M37"/>
    <n v="7000"/>
    <s v="Shift1"/>
    <x v="0"/>
    <s v="Maintenance"/>
    <x v="36"/>
    <d v="2026-05-19T10:00:00"/>
    <n v="1.5"/>
    <s v="INC037"/>
    <s v="B037"/>
    <n v="8"/>
    <n v="6.5"/>
    <n v="600"/>
    <n v="560"/>
    <n v="1500"/>
    <n v="2000"/>
    <n v="2250"/>
    <n v="6.5"/>
    <n v="0.8125"/>
    <n v="0.86153846153846159"/>
    <n v="0.93333333333333335"/>
    <n v="0.65333333333333343"/>
    <n v="40"/>
    <n v="2250"/>
    <n v="250"/>
    <n v="0.93333333333333335"/>
    <n v="1.5"/>
  </r>
  <r>
    <s v="M38"/>
    <n v="13000"/>
    <s v="Shift2"/>
    <x v="1"/>
    <s v="Operator Error"/>
    <x v="37"/>
    <d v="2026-05-19T15:00:00"/>
    <n v="1"/>
    <s v="INC038"/>
    <s v="B038"/>
    <n v="8"/>
    <n v="7"/>
    <n v="650"/>
    <n v="630"/>
    <n v="1400"/>
    <n v="1800"/>
    <n v="1400"/>
    <n v="7"/>
    <n v="0.875"/>
    <n v="0.9"/>
    <n v="0.96923076923076923"/>
    <n v="0.7632692307692307"/>
    <n v="20"/>
    <n v="1400"/>
    <n v="-400"/>
    <n v="0.96923076923076923"/>
    <n v="1"/>
  </r>
  <r>
    <s v="M39"/>
    <n v="6000"/>
    <s v="Shift3"/>
    <x v="2"/>
    <s v="Supply Shortage"/>
    <x v="38"/>
    <d v="2026-05-20T11:00:00"/>
    <n v="2"/>
    <s v="INC039"/>
    <s v="B039"/>
    <n v="9"/>
    <n v="7"/>
    <n v="700"/>
    <n v="660"/>
    <n v="1500"/>
    <n v="2500"/>
    <n v="3000"/>
    <n v="7"/>
    <n v="0.77777777777777779"/>
    <n v="0.94285714285714295"/>
    <n v="0.94285714285714284"/>
    <n v="0.6914285714285715"/>
    <n v="40"/>
    <n v="3000"/>
    <n v="500"/>
    <n v="0.94285714285714284"/>
    <n v="2"/>
  </r>
  <r>
    <s v="M40"/>
    <n v="10000"/>
    <s v="Shift1"/>
    <x v="0"/>
    <s v="Machine Failure"/>
    <x v="39"/>
    <d v="2026-05-20T15:00:00"/>
    <n v="2"/>
    <s v="INC040"/>
    <s v="B040"/>
    <n v="8"/>
    <n v="6"/>
    <n v="500"/>
    <n v="470"/>
    <n v="1600"/>
    <n v="2500"/>
    <n v="3200"/>
    <n v="6"/>
    <n v="0.75"/>
    <n v="0.78333333333333333"/>
    <n v="0.94"/>
    <n v="0.55225000000000002"/>
    <n v="30"/>
    <n v="3200"/>
    <n v="700"/>
    <n v="0.94"/>
    <n v="2"/>
  </r>
  <r>
    <s v="M41"/>
    <n v="12000"/>
    <s v="Shift2"/>
    <x v="1"/>
    <s v="Maintenance"/>
    <x v="40"/>
    <d v="2026-05-21T09:30:00"/>
    <n v="1.5"/>
    <s v="INC041"/>
    <s v="B041"/>
    <n v="7"/>
    <n v="6"/>
    <n v="480"/>
    <n v="450"/>
    <n v="1300"/>
    <n v="2000"/>
    <n v="1950"/>
    <n v="5.5"/>
    <n v="0.7857142857142857"/>
    <n v="0.81818181818181823"/>
    <n v="0.9375"/>
    <n v="0.60267857142857151"/>
    <n v="30"/>
    <n v="1950"/>
    <n v="-50"/>
    <n v="0.9375"/>
    <n v="1"/>
  </r>
  <r>
    <s v="M42"/>
    <n v="8000"/>
    <s v="Shift3"/>
    <x v="2"/>
    <s v="Operator Error"/>
    <x v="41"/>
    <d v="2026-05-21T15:00:00"/>
    <n v="1"/>
    <s v="INC042"/>
    <s v="B042"/>
    <n v="8"/>
    <n v="7"/>
    <n v="600"/>
    <n v="580"/>
    <n v="1400"/>
    <n v="1800"/>
    <n v="1400"/>
    <n v="7"/>
    <n v="0.875"/>
    <n v="0.82857142857142851"/>
    <n v="0.96666666666666667"/>
    <n v="0.70083333333333331"/>
    <n v="20"/>
    <n v="1400"/>
    <n v="-400"/>
    <n v="0.96666666666666667"/>
    <n v="1"/>
  </r>
  <r>
    <s v="M43"/>
    <n v="15000"/>
    <s v="Shift1"/>
    <x v="0"/>
    <s v="Supply Shortage"/>
    <x v="42"/>
    <d v="2026-05-22T11:00:00"/>
    <n v="2"/>
    <s v="INC043"/>
    <s v="B043"/>
    <n v="9"/>
    <n v="7"/>
    <n v="700"/>
    <n v="650"/>
    <n v="1500"/>
    <n v="2500"/>
    <n v="3000"/>
    <n v="7"/>
    <n v="0.77777777777777779"/>
    <n v="0.9285714285714286"/>
    <n v="0.9285714285714286"/>
    <n v="0.67063492063492069"/>
    <n v="50"/>
    <n v="3000"/>
    <n v="500"/>
    <n v="0.9285714285714286"/>
    <n v="2"/>
  </r>
  <r>
    <s v="M44"/>
    <n v="5000"/>
    <s v="Shift2"/>
    <x v="1"/>
    <s v="Machine Failure"/>
    <x v="43"/>
    <d v="2026-05-22T14:30:00"/>
    <n v="1.5"/>
    <s v="INC044"/>
    <s v="B044"/>
    <n v="8"/>
    <n v="6.5"/>
    <n v="550"/>
    <n v="500"/>
    <n v="1600"/>
    <n v="2000"/>
    <n v="2400"/>
    <n v="6.5"/>
    <n v="0.8125"/>
    <n v="0.76923076923076927"/>
    <n v="0.90909090909090906"/>
    <n v="0.56818181818181812"/>
    <n v="50"/>
    <n v="2400"/>
    <n v="400"/>
    <n v="0.90909090909090906"/>
    <n v="1.5"/>
  </r>
  <r>
    <s v="M45"/>
    <n v="11000"/>
    <s v="Shift3"/>
    <x v="2"/>
    <s v="Maintenance"/>
    <x v="44"/>
    <d v="2026-05-23T10:00:00"/>
    <n v="2"/>
    <s v="INC045"/>
    <s v="B045"/>
    <n v="8"/>
    <n v="6"/>
    <n v="500"/>
    <n v="460"/>
    <n v="1500"/>
    <n v="2500"/>
    <n v="3000"/>
    <n v="6"/>
    <n v="0.75"/>
    <n v="0.76666666666666672"/>
    <n v="0.92"/>
    <n v="0.52900000000000014"/>
    <n v="40"/>
    <n v="3000"/>
    <n v="500"/>
    <n v="0.92"/>
    <n v="2"/>
  </r>
  <r>
    <s v="M46"/>
    <n v="9000"/>
    <s v="Shift1"/>
    <x v="0"/>
    <s v="Operator Error"/>
    <x v="45"/>
    <d v="2026-05-23T16:00:00"/>
    <n v="1"/>
    <s v="INC046"/>
    <s v="B046"/>
    <n v="7"/>
    <n v="6.5"/>
    <n v="480"/>
    <n v="460"/>
    <n v="1300"/>
    <n v="1800"/>
    <n v="1300"/>
    <n v="6"/>
    <n v="0.8571428571428571"/>
    <n v="0.76666666666666672"/>
    <n v="0.95833333333333337"/>
    <n v="0.62976190476190474"/>
    <n v="20"/>
    <n v="1300"/>
    <n v="-500"/>
    <n v="0.95833333333333337"/>
    <n v="0.5"/>
  </r>
  <r>
    <s v="M47"/>
    <n v="7000"/>
    <s v="Shift2"/>
    <x v="1"/>
    <s v="Supply Shortage"/>
    <x v="46"/>
    <d v="2026-05-24T11:30:00"/>
    <n v="2.5"/>
    <s v="INC047"/>
    <s v="B047"/>
    <n v="9"/>
    <n v="6.5"/>
    <n v="700"/>
    <n v="620"/>
    <n v="1600"/>
    <n v="3000"/>
    <n v="4000"/>
    <n v="6.5"/>
    <n v="0.72222222222222221"/>
    <n v="0.9538461538461539"/>
    <n v="0.88571428571428568"/>
    <n v="0.61015873015873012"/>
    <n v="80"/>
    <n v="4000"/>
    <n v="1000"/>
    <n v="0.88571428571428568"/>
    <n v="2.5"/>
  </r>
  <r>
    <s v="M48"/>
    <n v="13000"/>
    <s v="Shift3"/>
    <x v="2"/>
    <s v="Machine Failure"/>
    <x v="47"/>
    <d v="2026-05-24T13:30:00"/>
    <n v="1.5"/>
    <s v="INC048"/>
    <s v="B048"/>
    <n v="8"/>
    <n v="6.5"/>
    <n v="520"/>
    <n v="480"/>
    <n v="1400"/>
    <n v="2000"/>
    <n v="2100"/>
    <n v="6.5"/>
    <n v="0.8125"/>
    <n v="0.73846153846153839"/>
    <n v="0.92307692307692313"/>
    <n v="0.55384615384615388"/>
    <n v="40"/>
    <n v="2100"/>
    <n v="100"/>
    <n v="0.92307692307692313"/>
    <n v="1.5"/>
  </r>
  <r>
    <s v="M49"/>
    <n v="6000"/>
    <s v="Shift1"/>
    <x v="0"/>
    <s v="Maintenance"/>
    <x v="48"/>
    <d v="2026-05-25T10:00:00"/>
    <n v="1.5"/>
    <s v="INC049"/>
    <s v="B049"/>
    <n v="8"/>
    <n v="6.5"/>
    <n v="600"/>
    <n v="560"/>
    <n v="1500"/>
    <n v="2000"/>
    <n v="2250"/>
    <n v="6.5"/>
    <n v="0.8125"/>
    <n v="0.86153846153846159"/>
    <n v="0.93333333333333335"/>
    <n v="0.65333333333333343"/>
    <n v="40"/>
    <n v="2250"/>
    <n v="250"/>
    <n v="0.93333333333333335"/>
    <n v="1.5"/>
  </r>
  <r>
    <s v="M50"/>
    <n v="10000"/>
    <s v="Shift2"/>
    <x v="1"/>
    <s v="Operator Error"/>
    <x v="49"/>
    <d v="2026-05-25T15:00:00"/>
    <n v="1"/>
    <s v="INC050"/>
    <s v="B050"/>
    <n v="8"/>
    <n v="7"/>
    <n v="650"/>
    <n v="630"/>
    <n v="1400"/>
    <n v="1800"/>
    <n v="1400"/>
    <n v="7"/>
    <n v="0.875"/>
    <n v="0.9"/>
    <n v="0.96923076923076923"/>
    <n v="0.7632692307692307"/>
    <n v="20"/>
    <n v="1400"/>
    <n v="-400"/>
    <n v="0.9692307692307692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7031B-EECE-47E0-A3A0-1B899A51B26C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2">
  <location ref="H58:J70" firstHeaderRow="0" firstDataRow="1" firstDataCol="1"/>
  <pivotFields count="26">
    <pivotField axis="axisRow" compact="0" outline="0" showAll="0" measureFilter="1" sortType="ascending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  <pivotField compact="0" numFmtId="22" outline="0" showAll="0"/>
    <pivotField compact="0" numFmtId="22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outline="0" showAll="0"/>
    <pivotField dataField="1" compact="0" numFmtId="9" outline="0" showAll="0"/>
  </pivotFields>
  <rowFields count="1">
    <field x="0"/>
  </rowFields>
  <rowItems count="12">
    <i>
      <x v="15"/>
    </i>
    <i>
      <x v="37"/>
    </i>
    <i>
      <x v="17"/>
    </i>
    <i>
      <x v="12"/>
    </i>
    <i>
      <x v="32"/>
    </i>
    <i>
      <x v="22"/>
    </i>
    <i>
      <x v="6"/>
    </i>
    <i>
      <x v="28"/>
    </i>
    <i>
      <x v="41"/>
    </i>
    <i>
      <x v="19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wntimeDurationHrs" fld="7" baseField="0" baseItem="0"/>
    <dataField name="Average of Production Efficiency" fld="25" subtotal="average" baseField="0" baseItem="0" numFmtId="9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sum" evalOrder="-1" id="1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0443D-F095-4DB7-9F6E-ECFB5B59674B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6">
  <location ref="M81:P85" firstHeaderRow="0" firstDataRow="1" firstDataCol="1"/>
  <pivotFields count="26">
    <pivotField compact="0" outline="0" showAll="0"/>
    <pivotField compact="0" outline="0" showAll="0">
      <items count="11">
        <item x="3"/>
        <item x="8"/>
        <item x="6"/>
        <item x="1"/>
        <item x="5"/>
        <item x="9"/>
        <item x="4"/>
        <item x="0"/>
        <item x="7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compact="0" numFmtId="9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Planned" fld="12" baseField="0" baseItem="0"/>
    <dataField name="Sum of UnitsProduced" fld="13" baseField="0" baseItem="0"/>
    <dataField name="Sum of Lost Units" fld="22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04A60-741A-42F6-8A77-2BAC62B5F542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2">
  <location ref="C60:C61" firstHeaderRow="1" firstDataRow="1" firstDataCol="0"/>
  <pivotFields count="26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compact="0" numFmtId="9" outline="0" showAll="0"/>
  </pivotFields>
  <rowItems count="1">
    <i/>
  </rowItems>
  <colItems count="1">
    <i/>
  </colItems>
  <dataFields count="1">
    <dataField name="Sum of Lost Unit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C1295-CAD5-4C60-A151-725DD31A98BE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2">
  <location ref="B60:B61" firstHeaderRow="1" firstDataRow="1" firstDataCol="0"/>
  <pivotFields count="26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Items count="1">
    <i/>
  </rowItems>
  <colItems count="1">
    <i/>
  </colItems>
  <dataFields count="1">
    <dataField name="Count of IncidentID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B5D6F-9C4D-4DBD-8EFA-F7363D1B113E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B73:C84" firstHeaderRow="1" firstDataRow="1" firstDataCol="1"/>
  <pivotFields count="26">
    <pivotField compact="0" outline="0" showAll="0"/>
    <pivotField axis="axisRow" compact="0" outline="0" showAll="0">
      <items count="11">
        <item x="3"/>
        <item x="8"/>
        <item x="6"/>
        <item x="1"/>
        <item x="5"/>
        <item x="9"/>
        <item x="4"/>
        <item x="0"/>
        <item x="7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OEE" fld="21" subtotal="average" baseField="0" baseItem="0" numFmtId="9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B4C59-B04A-4D72-8ACD-D89EBC909374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3">
  <location ref="M58:P62" firstHeaderRow="0" firstDataRow="1" firstDataCol="1"/>
  <pivotFields count="26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dataField="1" compact="0" outline="0" showAll="0"/>
    <pivotField compact="0" numFmtId="9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edDowntimeCost" fld="15" baseField="0" baseItem="0"/>
    <dataField name="Sum of ActualDowntimeCost" fld="16" baseField="0" baseItem="0"/>
    <dataField name="Sum of Cost Variance" fld="24" baseField="0" baseItem="0"/>
  </dataFields>
  <chartFormats count="18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6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1056D-CEA4-4353-B82C-72BD67B65430}" name="PivotTable7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4">
  <location ref="B87:C138" firstHeaderRow="1" firstDataRow="1" firstDataCol="1"/>
  <pivotFields count="27"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numFmtId="22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numFmtId="22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</pivotFields>
  <rowFields count="1">
    <field x="5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DowntimeDurationHrs" fld="7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AD5CF-34E1-4388-A087-6D38A525893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77:F81" firstHeaderRow="1" firstDataRow="1" firstDataCol="1"/>
  <pivotFields count="26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owntimeDurationHrs" fld="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F99E4-B899-4CE1-8628-32C06C8C7F80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3">
  <location ref="F124:H129" firstHeaderRow="0" firstDataRow="1" firstDataCol="1"/>
  <pivotFields count="26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5">
        <item x="3"/>
        <item x="0"/>
        <item x="1"/>
        <item x="2"/>
        <item t="default"/>
      </items>
    </pivotField>
    <pivotField compact="0" numFmtId="22" outline="0" showAll="0"/>
    <pivotField compact="0" numFmtId="22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dataField="1" compact="0" outline="0" showAll="0"/>
    <pivotField compact="0" outline="0" showAll="0"/>
    <pivotField compact="0" numFmtId="9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wntimeDurationHrs" fld="7" baseField="0" baseItem="0"/>
    <dataField name="Sum of Cost of Downtime" fld="23" baseField="0" baseItem="0"/>
  </dataFields>
  <chartFormats count="4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453CC-5E4A-4C88-8214-8A61D2BF449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60:A61" firstHeaderRow="1" firstDataRow="1" firstDataCol="0"/>
  <pivotFields count="26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dataField="1" compact="0" outline="0" showAll="0"/>
    <pivotField compact="0" outline="0" showAll="0"/>
    <pivotField compact="0" numFmtId="9" outline="0" showAll="0"/>
  </pivotFields>
  <rowItems count="1">
    <i/>
  </rowItems>
  <colItems count="1">
    <i/>
  </colItems>
  <dataFields count="1">
    <dataField name="Sum of Cost of Downtime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618B5-AE40-4259-923A-B31D28821C26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5">
  <location ref="E69:F73" firstHeaderRow="1" firstDataRow="1" firstDataCol="1"/>
  <pivotFields count="26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owntimeDurationHrs" fld="7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9AE80-49E7-47BC-BE85-558FA4A88B7E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2">
  <location ref="A56:B57" firstHeaderRow="0" firstDataRow="1" firstDataCol="0"/>
  <pivotFields count="26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2" outline="0" showAll="0"/>
    <pivotField compact="0" numFmtId="22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DowntimeDurationHrs" fld="7" baseField="0" baseItem="0"/>
    <dataField name="Sum of PlannedProdTimeHr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hift" xr10:uid="{AA61750A-0D94-415C-8CCD-9580943E4A86}" sourceName="Shift">
  <pivotTables>
    <pivotTable tabId="3" name="PivotTable3"/>
    <pivotTable tabId="3" name="PivotTable9"/>
    <pivotTable tabId="3" name="PivotTable1"/>
    <pivotTable tabId="3" name="PivotTable2"/>
    <pivotTable tabId="3" name="PivotTable6"/>
    <pivotTable tabId="3" name="PivotTable8"/>
    <pivotTable tabId="3" name="PivotTable4"/>
    <pivotTable tabId="3" name="PivotTable10"/>
    <pivotTable tabId="3" name="PivotTable12"/>
    <pivotTable tabId="3" name="PivotTable11"/>
    <pivotTable tabId="3" name="PivotTable5"/>
  </pivotTables>
  <data>
    <tabular pivotCacheId="394169146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am" xr10:uid="{72A4C50D-6574-474E-8156-830E0298479F}" sourceName="Team">
  <pivotTables>
    <pivotTable tabId="3" name="PivotTable3"/>
    <pivotTable tabId="3" name="PivotTable9"/>
    <pivotTable tabId="3" name="PivotTable1"/>
    <pivotTable tabId="3" name="PivotTable2"/>
    <pivotTable tabId="3" name="PivotTable6"/>
    <pivotTable tabId="3" name="PivotTable10"/>
    <pivotTable tabId="3" name="PivotTable8"/>
    <pivotTable tabId="3" name="PivotTable4"/>
    <pivotTable tabId="3" name="PivotTable12"/>
    <pivotTable tabId="3" name="PivotTable11"/>
    <pivotTable tabId="3" name="PivotTable5"/>
  </pivotTables>
  <data>
    <tabular pivotCacheId="39416914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hift" xr10:uid="{E5BE3EE9-B76A-4488-8CDD-D13DAE9E716C}" cache="Slicer_Shift" caption="Shift" columnCount="2" rowHeight="228600"/>
  <slicer name="Team" xr10:uid="{2E36DBA5-94E6-40E1-8E01-522AEF2D3F89}" cache="Slicer_Team" caption="Team" columnCount="2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owntimeStart" xr10:uid="{E7C9844C-3A47-4811-AE3F-5F82A27D336A}" sourceName="DowntimeStart">
  <pivotTables>
    <pivotTable tabId="3" name="PivotTable7"/>
  </pivotTables>
  <state minimalRefreshVersion="6" lastRefreshVersion="6" pivotCacheId="1467843601" filterType="unknown">
    <bounds startDate="2026-01-01T08:00:00" endDate="2027-01-01T14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owntimeStart" xr10:uid="{27C564A3-E3C8-41A8-B8C1-DD5F1E496790}" cache="NativeTimeline_DowntimeStart" caption="DowntimeStart" level="2" selectionLevel="2" scrollPosition="2026-01-01T00:00:00"/>
</timeline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microsoft.com/office/2011/relationships/timeline" Target="../timelines/timeline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EE57-83DF-4FE6-9517-2315F4C18157}">
  <dimension ref="A1:Q74"/>
  <sheetViews>
    <sheetView workbookViewId="0">
      <selection activeCell="F102" sqref="F102"/>
    </sheetView>
  </sheetViews>
  <sheetFormatPr defaultRowHeight="14.4" x14ac:dyDescent="0.3"/>
  <cols>
    <col min="1" max="1" width="8.5546875" bestFit="1" customWidth="1"/>
    <col min="3" max="3" width="5.5546875" bestFit="1" customWidth="1"/>
    <col min="4" max="4" width="6.6640625" bestFit="1" customWidth="1"/>
    <col min="5" max="5" width="12.5546875" bestFit="1" customWidth="1"/>
    <col min="6" max="7" width="15.33203125" bestFit="1" customWidth="1"/>
    <col min="8" max="8" width="14.6640625" bestFit="1" customWidth="1"/>
    <col min="9" max="9" width="9.6640625" bestFit="1" customWidth="1"/>
    <col min="10" max="10" width="7.5546875" bestFit="1" customWidth="1"/>
    <col min="11" max="11" width="8" bestFit="1" customWidth="1"/>
    <col min="12" max="12" width="7.44140625" bestFit="1" customWidth="1"/>
    <col min="13" max="13" width="8" bestFit="1" customWidth="1"/>
    <col min="14" max="14" width="8.109375" bestFit="1" customWidth="1"/>
    <col min="15" max="16" width="7.88671875" bestFit="1" customWidth="1"/>
    <col min="17" max="17" width="8.5546875" bestFit="1" customWidth="1"/>
    <col min="19" max="19" width="8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12000</v>
      </c>
      <c r="C2" t="s">
        <v>18</v>
      </c>
      <c r="D2" t="s">
        <v>19</v>
      </c>
      <c r="E2" t="s">
        <v>20</v>
      </c>
      <c r="F2" s="16">
        <v>46143.333333333336</v>
      </c>
      <c r="G2" s="16">
        <v>46143.416666666664</v>
      </c>
      <c r="H2">
        <v>2</v>
      </c>
      <c r="I2" t="s">
        <v>21</v>
      </c>
      <c r="J2" t="s">
        <v>22</v>
      </c>
      <c r="K2">
        <v>8</v>
      </c>
      <c r="L2">
        <v>6</v>
      </c>
      <c r="M2">
        <v>500</v>
      </c>
      <c r="N2">
        <v>420</v>
      </c>
      <c r="O2">
        <v>1500</v>
      </c>
      <c r="P2">
        <v>2500</v>
      </c>
      <c r="Q2">
        <v>3000</v>
      </c>
    </row>
    <row r="3" spans="1:17" x14ac:dyDescent="0.3">
      <c r="A3" t="s">
        <v>23</v>
      </c>
      <c r="B3">
        <v>8000</v>
      </c>
      <c r="C3" t="s">
        <v>24</v>
      </c>
      <c r="D3" t="s">
        <v>25</v>
      </c>
      <c r="E3" t="s">
        <v>26</v>
      </c>
      <c r="F3" s="16">
        <v>46143.583333333336</v>
      </c>
      <c r="G3" s="16">
        <v>46143.645833333336</v>
      </c>
      <c r="H3">
        <v>1.5</v>
      </c>
      <c r="I3" t="s">
        <v>27</v>
      </c>
      <c r="J3" t="s">
        <v>28</v>
      </c>
      <c r="K3">
        <v>8</v>
      </c>
      <c r="L3">
        <v>6.5</v>
      </c>
      <c r="M3">
        <v>600</v>
      </c>
      <c r="N3">
        <v>550</v>
      </c>
      <c r="O3">
        <v>1400</v>
      </c>
      <c r="P3">
        <v>2000</v>
      </c>
      <c r="Q3">
        <v>2100</v>
      </c>
    </row>
    <row r="4" spans="1:17" x14ac:dyDescent="0.3">
      <c r="A4" t="s">
        <v>29</v>
      </c>
      <c r="B4">
        <v>15000</v>
      </c>
      <c r="C4" t="s">
        <v>30</v>
      </c>
      <c r="D4" t="s">
        <v>31</v>
      </c>
      <c r="E4" t="s">
        <v>32</v>
      </c>
      <c r="F4" s="16">
        <v>46144.375</v>
      </c>
      <c r="G4" s="16">
        <v>46144.479166666664</v>
      </c>
      <c r="H4">
        <v>2.5</v>
      </c>
      <c r="I4" t="s">
        <v>33</v>
      </c>
      <c r="J4" t="s">
        <v>34</v>
      </c>
      <c r="K4">
        <v>9</v>
      </c>
      <c r="L4">
        <v>6.5</v>
      </c>
      <c r="M4">
        <v>700</v>
      </c>
      <c r="N4">
        <v>580</v>
      </c>
      <c r="O4">
        <v>1600</v>
      </c>
      <c r="P4">
        <v>3000</v>
      </c>
      <c r="Q4">
        <v>4000</v>
      </c>
    </row>
    <row r="5" spans="1:17" x14ac:dyDescent="0.3">
      <c r="A5" t="s">
        <v>35</v>
      </c>
      <c r="B5">
        <v>5000</v>
      </c>
      <c r="C5" t="s">
        <v>18</v>
      </c>
      <c r="D5" t="s">
        <v>19</v>
      </c>
      <c r="E5" t="s">
        <v>36</v>
      </c>
      <c r="F5" s="16">
        <v>46144.541666666664</v>
      </c>
      <c r="G5" s="16">
        <v>46144.583333333336</v>
      </c>
      <c r="H5">
        <v>1</v>
      </c>
      <c r="I5" t="s">
        <v>37</v>
      </c>
      <c r="J5" t="s">
        <v>38</v>
      </c>
      <c r="K5">
        <v>7</v>
      </c>
      <c r="L5">
        <v>6</v>
      </c>
      <c r="M5">
        <v>450</v>
      </c>
      <c r="N5">
        <v>400</v>
      </c>
      <c r="O5">
        <v>1300</v>
      </c>
      <c r="P5">
        <v>1500</v>
      </c>
      <c r="Q5">
        <v>1300</v>
      </c>
    </row>
    <row r="6" spans="1:17" x14ac:dyDescent="0.3">
      <c r="A6" t="s">
        <v>39</v>
      </c>
      <c r="B6">
        <v>11000</v>
      </c>
      <c r="C6" t="s">
        <v>24</v>
      </c>
      <c r="D6" t="s">
        <v>25</v>
      </c>
      <c r="E6" t="s">
        <v>20</v>
      </c>
      <c r="F6" s="16">
        <v>46145.354166666664</v>
      </c>
      <c r="G6" s="16">
        <v>46145.416666666664</v>
      </c>
      <c r="H6">
        <v>1.5</v>
      </c>
      <c r="I6" t="s">
        <v>40</v>
      </c>
      <c r="J6" t="s">
        <v>41</v>
      </c>
      <c r="K6">
        <v>8</v>
      </c>
      <c r="L6">
        <v>6.5</v>
      </c>
      <c r="M6">
        <v>520</v>
      </c>
      <c r="N6">
        <v>480</v>
      </c>
      <c r="O6">
        <v>1500</v>
      </c>
      <c r="P6">
        <v>2000</v>
      </c>
      <c r="Q6">
        <v>2250</v>
      </c>
    </row>
    <row r="7" spans="1:17" x14ac:dyDescent="0.3">
      <c r="A7" t="s">
        <v>42</v>
      </c>
      <c r="B7">
        <v>9000</v>
      </c>
      <c r="C7" t="s">
        <v>30</v>
      </c>
      <c r="D7" t="s">
        <v>31</v>
      </c>
      <c r="E7" t="s">
        <v>26</v>
      </c>
      <c r="F7" s="16">
        <v>46145.625</v>
      </c>
      <c r="G7" s="16">
        <v>46145.666666666664</v>
      </c>
      <c r="H7">
        <v>1</v>
      </c>
      <c r="I7" t="s">
        <v>43</v>
      </c>
      <c r="J7" t="s">
        <v>44</v>
      </c>
      <c r="K7">
        <v>8</v>
      </c>
      <c r="L7">
        <v>7</v>
      </c>
      <c r="M7">
        <v>600</v>
      </c>
      <c r="N7">
        <v>570</v>
      </c>
      <c r="O7">
        <v>1400</v>
      </c>
      <c r="P7">
        <v>1800</v>
      </c>
      <c r="Q7">
        <v>1400</v>
      </c>
    </row>
    <row r="8" spans="1:17" x14ac:dyDescent="0.3">
      <c r="A8" t="s">
        <v>45</v>
      </c>
      <c r="B8">
        <v>7000</v>
      </c>
      <c r="C8" t="s">
        <v>18</v>
      </c>
      <c r="D8" t="s">
        <v>19</v>
      </c>
      <c r="E8" t="s">
        <v>32</v>
      </c>
      <c r="F8" s="16">
        <v>46146.375</v>
      </c>
      <c r="G8" s="16">
        <v>46146.458333333336</v>
      </c>
      <c r="H8">
        <v>2</v>
      </c>
      <c r="I8" t="s">
        <v>46</v>
      </c>
      <c r="J8" t="s">
        <v>47</v>
      </c>
      <c r="K8">
        <v>9</v>
      </c>
      <c r="L8">
        <v>7</v>
      </c>
      <c r="M8">
        <v>650</v>
      </c>
      <c r="N8">
        <v>600</v>
      </c>
      <c r="O8">
        <v>1500</v>
      </c>
      <c r="P8">
        <v>2500</v>
      </c>
      <c r="Q8">
        <v>3000</v>
      </c>
    </row>
    <row r="9" spans="1:17" x14ac:dyDescent="0.3">
      <c r="A9" t="s">
        <v>48</v>
      </c>
      <c r="B9">
        <v>13000</v>
      </c>
      <c r="C9" t="s">
        <v>24</v>
      </c>
      <c r="D9" t="s">
        <v>25</v>
      </c>
      <c r="E9" t="s">
        <v>36</v>
      </c>
      <c r="F9" s="16">
        <v>46146.5</v>
      </c>
      <c r="G9" s="16">
        <v>46146.604166666664</v>
      </c>
      <c r="H9">
        <v>2.5</v>
      </c>
      <c r="I9" t="s">
        <v>49</v>
      </c>
      <c r="J9" t="s">
        <v>50</v>
      </c>
      <c r="K9">
        <v>8</v>
      </c>
      <c r="L9">
        <v>5.5</v>
      </c>
      <c r="M9">
        <v>500</v>
      </c>
      <c r="N9">
        <v>420</v>
      </c>
      <c r="O9">
        <v>1600</v>
      </c>
      <c r="P9">
        <v>2800</v>
      </c>
      <c r="Q9">
        <v>4000</v>
      </c>
    </row>
    <row r="10" spans="1:17" x14ac:dyDescent="0.3">
      <c r="A10" t="s">
        <v>51</v>
      </c>
      <c r="B10">
        <v>6000</v>
      </c>
      <c r="C10" t="s">
        <v>30</v>
      </c>
      <c r="D10" t="s">
        <v>31</v>
      </c>
      <c r="E10" t="s">
        <v>20</v>
      </c>
      <c r="F10" s="16">
        <v>46147.333333333336</v>
      </c>
      <c r="G10" s="16">
        <v>46147.395833333336</v>
      </c>
      <c r="H10">
        <v>1.5</v>
      </c>
      <c r="I10" t="s">
        <v>52</v>
      </c>
      <c r="J10" t="s">
        <v>53</v>
      </c>
      <c r="K10">
        <v>7</v>
      </c>
      <c r="L10">
        <v>6</v>
      </c>
      <c r="M10">
        <v>480</v>
      </c>
      <c r="N10">
        <v>450</v>
      </c>
      <c r="O10">
        <v>1300</v>
      </c>
      <c r="P10">
        <v>2000</v>
      </c>
      <c r="Q10">
        <v>1950</v>
      </c>
    </row>
    <row r="11" spans="1:17" x14ac:dyDescent="0.3">
      <c r="A11" t="s">
        <v>54</v>
      </c>
      <c r="B11">
        <v>10000</v>
      </c>
      <c r="C11" t="s">
        <v>18</v>
      </c>
      <c r="D11" t="s">
        <v>19</v>
      </c>
      <c r="E11" t="s">
        <v>26</v>
      </c>
      <c r="F11" s="16">
        <v>46147.583333333336</v>
      </c>
      <c r="G11" s="16">
        <v>46147.625</v>
      </c>
      <c r="H11">
        <v>1</v>
      </c>
      <c r="I11" t="s">
        <v>55</v>
      </c>
      <c r="J11" t="s">
        <v>56</v>
      </c>
      <c r="K11">
        <v>8</v>
      </c>
      <c r="L11">
        <v>7</v>
      </c>
      <c r="M11">
        <v>600</v>
      </c>
      <c r="N11">
        <v>580</v>
      </c>
      <c r="O11">
        <v>1400</v>
      </c>
      <c r="P11">
        <v>1800</v>
      </c>
      <c r="Q11">
        <v>1400</v>
      </c>
    </row>
    <row r="12" spans="1:17" x14ac:dyDescent="0.3">
      <c r="A12" t="s">
        <v>57</v>
      </c>
      <c r="B12">
        <v>12000</v>
      </c>
      <c r="C12" t="s">
        <v>24</v>
      </c>
      <c r="D12" t="s">
        <v>25</v>
      </c>
      <c r="E12" t="s">
        <v>32</v>
      </c>
      <c r="F12" s="16">
        <v>46148.375</v>
      </c>
      <c r="G12" s="16">
        <v>46148.458333333336</v>
      </c>
      <c r="H12">
        <v>2</v>
      </c>
      <c r="I12" t="s">
        <v>58</v>
      </c>
      <c r="J12" t="s">
        <v>59</v>
      </c>
      <c r="K12">
        <v>9</v>
      </c>
      <c r="L12">
        <v>7</v>
      </c>
      <c r="M12">
        <v>700</v>
      </c>
      <c r="N12">
        <v>650</v>
      </c>
      <c r="O12">
        <v>1500</v>
      </c>
      <c r="P12">
        <v>2500</v>
      </c>
      <c r="Q12">
        <v>3000</v>
      </c>
    </row>
    <row r="13" spans="1:17" x14ac:dyDescent="0.3">
      <c r="A13" t="s">
        <v>60</v>
      </c>
      <c r="B13">
        <v>8000</v>
      </c>
      <c r="C13" t="s">
        <v>30</v>
      </c>
      <c r="D13" t="s">
        <v>31</v>
      </c>
      <c r="E13" t="s">
        <v>36</v>
      </c>
      <c r="F13" s="16">
        <v>46148.541666666664</v>
      </c>
      <c r="G13" s="16">
        <v>46148.604166666664</v>
      </c>
      <c r="H13">
        <v>1.5</v>
      </c>
      <c r="I13" t="s">
        <v>61</v>
      </c>
      <c r="J13" t="s">
        <v>62</v>
      </c>
      <c r="K13">
        <v>8</v>
      </c>
      <c r="L13">
        <v>6.5</v>
      </c>
      <c r="M13">
        <v>550</v>
      </c>
      <c r="N13">
        <v>500</v>
      </c>
      <c r="O13">
        <v>1600</v>
      </c>
      <c r="P13">
        <v>2000</v>
      </c>
      <c r="Q13">
        <v>2400</v>
      </c>
    </row>
    <row r="14" spans="1:17" x14ac:dyDescent="0.3">
      <c r="A14" t="s">
        <v>63</v>
      </c>
      <c r="B14">
        <v>15000</v>
      </c>
      <c r="C14" t="s">
        <v>18</v>
      </c>
      <c r="D14" t="s">
        <v>19</v>
      </c>
      <c r="E14" t="s">
        <v>20</v>
      </c>
      <c r="F14" s="16">
        <v>46149.333333333336</v>
      </c>
      <c r="G14" s="16">
        <v>46149.416666666664</v>
      </c>
      <c r="H14">
        <v>2</v>
      </c>
      <c r="I14" t="s">
        <v>64</v>
      </c>
      <c r="J14" t="s">
        <v>65</v>
      </c>
      <c r="K14">
        <v>8</v>
      </c>
      <c r="L14">
        <v>6</v>
      </c>
      <c r="M14">
        <v>500</v>
      </c>
      <c r="N14">
        <v>460</v>
      </c>
      <c r="O14">
        <v>1500</v>
      </c>
      <c r="P14">
        <v>2500</v>
      </c>
      <c r="Q14">
        <v>3000</v>
      </c>
    </row>
    <row r="15" spans="1:17" x14ac:dyDescent="0.3">
      <c r="A15" t="s">
        <v>66</v>
      </c>
      <c r="B15">
        <v>5000</v>
      </c>
      <c r="C15" t="s">
        <v>24</v>
      </c>
      <c r="D15" t="s">
        <v>25</v>
      </c>
      <c r="E15" t="s">
        <v>26</v>
      </c>
      <c r="F15" s="16">
        <v>46149.625</v>
      </c>
      <c r="G15" s="16">
        <v>46149.666666666664</v>
      </c>
      <c r="H15">
        <v>1</v>
      </c>
      <c r="I15" t="s">
        <v>67</v>
      </c>
      <c r="J15" t="s">
        <v>68</v>
      </c>
      <c r="K15">
        <v>7</v>
      </c>
      <c r="L15">
        <v>6.5</v>
      </c>
      <c r="M15">
        <v>480</v>
      </c>
      <c r="N15">
        <v>460</v>
      </c>
      <c r="O15">
        <v>1300</v>
      </c>
      <c r="P15">
        <v>1800</v>
      </c>
      <c r="Q15">
        <v>1300</v>
      </c>
    </row>
    <row r="16" spans="1:17" x14ac:dyDescent="0.3">
      <c r="A16" t="s">
        <v>69</v>
      </c>
      <c r="B16">
        <v>11000</v>
      </c>
      <c r="C16" t="s">
        <v>30</v>
      </c>
      <c r="D16" t="s">
        <v>31</v>
      </c>
      <c r="E16" t="s">
        <v>32</v>
      </c>
      <c r="F16" s="16">
        <v>46150.375</v>
      </c>
      <c r="G16" s="16">
        <v>46150.479166666664</v>
      </c>
      <c r="H16">
        <v>2.5</v>
      </c>
      <c r="I16" t="s">
        <v>70</v>
      </c>
      <c r="J16" t="s">
        <v>71</v>
      </c>
      <c r="K16">
        <v>9</v>
      </c>
      <c r="L16">
        <v>6.5</v>
      </c>
      <c r="M16">
        <v>700</v>
      </c>
      <c r="N16">
        <v>620</v>
      </c>
      <c r="O16">
        <v>1600</v>
      </c>
      <c r="P16">
        <v>3000</v>
      </c>
      <c r="Q16">
        <v>4000</v>
      </c>
    </row>
    <row r="17" spans="1:17" x14ac:dyDescent="0.3">
      <c r="A17" t="s">
        <v>72</v>
      </c>
      <c r="B17" t="s">
        <v>72</v>
      </c>
      <c r="C17" t="s">
        <v>72</v>
      </c>
      <c r="D17" t="s">
        <v>72</v>
      </c>
      <c r="E17" t="s">
        <v>72</v>
      </c>
      <c r="F17" t="s">
        <v>72</v>
      </c>
      <c r="G17" t="s">
        <v>72</v>
      </c>
      <c r="H17" t="s">
        <v>72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72</v>
      </c>
      <c r="P17" t="s">
        <v>72</v>
      </c>
      <c r="Q17" t="s">
        <v>72</v>
      </c>
    </row>
    <row r="20" spans="1:17" ht="43.2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16</v>
      </c>
    </row>
    <row r="21" spans="1:17" x14ac:dyDescent="0.3">
      <c r="A21" s="2" t="s">
        <v>17</v>
      </c>
      <c r="B21" s="2">
        <v>12000</v>
      </c>
      <c r="C21" s="2" t="s">
        <v>18</v>
      </c>
      <c r="D21" s="2" t="s">
        <v>19</v>
      </c>
      <c r="E21" s="2" t="s">
        <v>20</v>
      </c>
      <c r="F21" s="3">
        <v>46143.333333333336</v>
      </c>
      <c r="G21" s="3">
        <v>46143.416666666664</v>
      </c>
      <c r="H21" s="2">
        <v>2</v>
      </c>
      <c r="I21" s="2" t="s">
        <v>21</v>
      </c>
      <c r="J21" s="2" t="s">
        <v>22</v>
      </c>
      <c r="K21" s="2">
        <v>8</v>
      </c>
      <c r="L21" s="2">
        <v>6</v>
      </c>
      <c r="M21" s="2">
        <v>500</v>
      </c>
      <c r="N21" s="2">
        <v>420</v>
      </c>
      <c r="O21" s="2">
        <v>1500</v>
      </c>
      <c r="P21" s="2">
        <v>2500</v>
      </c>
      <c r="Q21" s="2">
        <v>3000</v>
      </c>
    </row>
    <row r="22" spans="1:17" x14ac:dyDescent="0.3">
      <c r="A22" s="2" t="s">
        <v>23</v>
      </c>
      <c r="B22" s="2">
        <v>8000</v>
      </c>
      <c r="C22" s="2" t="s">
        <v>24</v>
      </c>
      <c r="D22" s="2" t="s">
        <v>25</v>
      </c>
      <c r="E22" s="2" t="s">
        <v>26</v>
      </c>
      <c r="F22" s="3">
        <v>46143.583333333336</v>
      </c>
      <c r="G22" s="3">
        <v>46143.645833333336</v>
      </c>
      <c r="H22" s="2">
        <v>1.5</v>
      </c>
      <c r="I22" s="2" t="s">
        <v>27</v>
      </c>
      <c r="J22" s="2" t="s">
        <v>28</v>
      </c>
      <c r="K22" s="2">
        <v>8</v>
      </c>
      <c r="L22" s="2">
        <v>6.5</v>
      </c>
      <c r="M22" s="2">
        <v>600</v>
      </c>
      <c r="N22" s="2">
        <v>550</v>
      </c>
      <c r="O22" s="2">
        <v>1400</v>
      </c>
      <c r="P22" s="2">
        <v>2000</v>
      </c>
      <c r="Q22" s="2">
        <v>2100</v>
      </c>
    </row>
    <row r="23" spans="1:17" ht="28.8" x14ac:dyDescent="0.3">
      <c r="A23" s="2" t="s">
        <v>29</v>
      </c>
      <c r="B23" s="2">
        <v>15000</v>
      </c>
      <c r="C23" s="2" t="s">
        <v>30</v>
      </c>
      <c r="D23" s="2" t="s">
        <v>31</v>
      </c>
      <c r="E23" s="2" t="s">
        <v>32</v>
      </c>
      <c r="F23" s="3">
        <v>46144.375</v>
      </c>
      <c r="G23" s="3">
        <v>46144.479166666664</v>
      </c>
      <c r="H23" s="2">
        <v>2.5</v>
      </c>
      <c r="I23" s="2" t="s">
        <v>33</v>
      </c>
      <c r="J23" s="2" t="s">
        <v>34</v>
      </c>
      <c r="K23" s="2">
        <v>9</v>
      </c>
      <c r="L23" s="2">
        <v>6.5</v>
      </c>
      <c r="M23" s="2">
        <v>700</v>
      </c>
      <c r="N23" s="2">
        <v>580</v>
      </c>
      <c r="O23" s="2">
        <v>1600</v>
      </c>
      <c r="P23" s="2">
        <v>3000</v>
      </c>
      <c r="Q23" s="2">
        <v>4000</v>
      </c>
    </row>
    <row r="24" spans="1:17" ht="28.8" x14ac:dyDescent="0.3">
      <c r="A24" s="2" t="s">
        <v>35</v>
      </c>
      <c r="B24" s="2">
        <v>5000</v>
      </c>
      <c r="C24" s="2" t="s">
        <v>18</v>
      </c>
      <c r="D24" s="2" t="s">
        <v>19</v>
      </c>
      <c r="E24" s="2" t="s">
        <v>36</v>
      </c>
      <c r="F24" s="3">
        <v>46144.541666666664</v>
      </c>
      <c r="G24" s="3">
        <v>46144.583333333336</v>
      </c>
      <c r="H24" s="2">
        <v>1</v>
      </c>
      <c r="I24" s="2" t="s">
        <v>37</v>
      </c>
      <c r="J24" s="2" t="s">
        <v>38</v>
      </c>
      <c r="K24" s="2">
        <v>7</v>
      </c>
      <c r="L24" s="2">
        <v>6</v>
      </c>
      <c r="M24" s="2">
        <v>450</v>
      </c>
      <c r="N24" s="2">
        <v>400</v>
      </c>
      <c r="O24" s="2">
        <v>1300</v>
      </c>
      <c r="P24" s="2">
        <v>1500</v>
      </c>
      <c r="Q24" s="2">
        <v>1300</v>
      </c>
    </row>
    <row r="25" spans="1:17" x14ac:dyDescent="0.3">
      <c r="A25" s="2" t="s">
        <v>39</v>
      </c>
      <c r="B25" s="2">
        <v>11000</v>
      </c>
      <c r="C25" s="2" t="s">
        <v>24</v>
      </c>
      <c r="D25" s="2" t="s">
        <v>25</v>
      </c>
      <c r="E25" s="2" t="s">
        <v>20</v>
      </c>
      <c r="F25" s="3">
        <v>46145.354166666664</v>
      </c>
      <c r="G25" s="3">
        <v>46145.416666666664</v>
      </c>
      <c r="H25" s="2">
        <v>1.5</v>
      </c>
      <c r="I25" s="2" t="s">
        <v>40</v>
      </c>
      <c r="J25" s="2" t="s">
        <v>41</v>
      </c>
      <c r="K25" s="2">
        <v>8</v>
      </c>
      <c r="L25" s="2">
        <v>6.5</v>
      </c>
      <c r="M25" s="2">
        <v>520</v>
      </c>
      <c r="N25" s="2">
        <v>480</v>
      </c>
      <c r="O25" s="2">
        <v>1500</v>
      </c>
      <c r="P25" s="2">
        <v>2000</v>
      </c>
      <c r="Q25" s="2">
        <v>2250</v>
      </c>
    </row>
    <row r="26" spans="1:17" x14ac:dyDescent="0.3">
      <c r="A26" s="2" t="s">
        <v>42</v>
      </c>
      <c r="B26" s="2">
        <v>9000</v>
      </c>
      <c r="C26" s="2" t="s">
        <v>30</v>
      </c>
      <c r="D26" s="2" t="s">
        <v>31</v>
      </c>
      <c r="E26" s="2" t="s">
        <v>26</v>
      </c>
      <c r="F26" s="3">
        <v>46145.625</v>
      </c>
      <c r="G26" s="3">
        <v>46145.666666666664</v>
      </c>
      <c r="H26" s="2">
        <v>1</v>
      </c>
      <c r="I26" s="2" t="s">
        <v>43</v>
      </c>
      <c r="J26" s="2" t="s">
        <v>44</v>
      </c>
      <c r="K26" s="2">
        <v>8</v>
      </c>
      <c r="L26" s="2">
        <v>7</v>
      </c>
      <c r="M26" s="2">
        <v>600</v>
      </c>
      <c r="N26" s="2">
        <v>570</v>
      </c>
      <c r="O26" s="2">
        <v>1400</v>
      </c>
      <c r="P26" s="2">
        <v>1800</v>
      </c>
      <c r="Q26" s="2">
        <v>1400</v>
      </c>
    </row>
    <row r="27" spans="1:17" ht="28.8" x14ac:dyDescent="0.3">
      <c r="A27" s="2" t="s">
        <v>45</v>
      </c>
      <c r="B27" s="2">
        <v>7000</v>
      </c>
      <c r="C27" s="2" t="s">
        <v>18</v>
      </c>
      <c r="D27" s="2" t="s">
        <v>19</v>
      </c>
      <c r="E27" s="2" t="s">
        <v>32</v>
      </c>
      <c r="F27" s="3">
        <v>46146.375</v>
      </c>
      <c r="G27" s="3">
        <v>46146.458333333336</v>
      </c>
      <c r="H27" s="2">
        <v>2</v>
      </c>
      <c r="I27" s="2" t="s">
        <v>46</v>
      </c>
      <c r="J27" s="2" t="s">
        <v>47</v>
      </c>
      <c r="K27" s="2">
        <v>9</v>
      </c>
      <c r="L27" s="2">
        <v>7</v>
      </c>
      <c r="M27" s="2">
        <v>650</v>
      </c>
      <c r="N27" s="2">
        <v>600</v>
      </c>
      <c r="O27" s="2">
        <v>1500</v>
      </c>
      <c r="P27" s="2">
        <v>2500</v>
      </c>
      <c r="Q27" s="2">
        <v>3000</v>
      </c>
    </row>
    <row r="28" spans="1:17" ht="28.8" x14ac:dyDescent="0.3">
      <c r="A28" s="2" t="s">
        <v>48</v>
      </c>
      <c r="B28" s="2">
        <v>13000</v>
      </c>
      <c r="C28" s="2" t="s">
        <v>24</v>
      </c>
      <c r="D28" s="2" t="s">
        <v>25</v>
      </c>
      <c r="E28" s="2" t="s">
        <v>36</v>
      </c>
      <c r="F28" s="3">
        <v>46146.5</v>
      </c>
      <c r="G28" s="3">
        <v>46146.604166666664</v>
      </c>
      <c r="H28" s="2">
        <v>2.5</v>
      </c>
      <c r="I28" s="2" t="s">
        <v>49</v>
      </c>
      <c r="J28" s="2" t="s">
        <v>50</v>
      </c>
      <c r="K28" s="2">
        <v>8</v>
      </c>
      <c r="L28" s="2">
        <v>5.5</v>
      </c>
      <c r="M28" s="2">
        <v>500</v>
      </c>
      <c r="N28" s="2">
        <v>420</v>
      </c>
      <c r="O28" s="2">
        <v>1600</v>
      </c>
      <c r="P28" s="2">
        <v>2800</v>
      </c>
      <c r="Q28" s="2">
        <v>4000</v>
      </c>
    </row>
    <row r="29" spans="1:17" x14ac:dyDescent="0.3">
      <c r="A29" s="2" t="s">
        <v>51</v>
      </c>
      <c r="B29" s="2">
        <v>6000</v>
      </c>
      <c r="C29" s="2" t="s">
        <v>30</v>
      </c>
      <c r="D29" s="2" t="s">
        <v>31</v>
      </c>
      <c r="E29" s="2" t="s">
        <v>20</v>
      </c>
      <c r="F29" s="3">
        <v>46147.333333333336</v>
      </c>
      <c r="G29" s="3">
        <v>46147.395833333336</v>
      </c>
      <c r="H29" s="2">
        <v>1.5</v>
      </c>
      <c r="I29" s="2" t="s">
        <v>52</v>
      </c>
      <c r="J29" s="2" t="s">
        <v>53</v>
      </c>
      <c r="K29" s="2">
        <v>7</v>
      </c>
      <c r="L29" s="2">
        <v>6</v>
      </c>
      <c r="M29" s="2">
        <v>480</v>
      </c>
      <c r="N29" s="2">
        <v>450</v>
      </c>
      <c r="O29" s="2">
        <v>1300</v>
      </c>
      <c r="P29" s="2">
        <v>2000</v>
      </c>
      <c r="Q29" s="2">
        <v>1950</v>
      </c>
    </row>
    <row r="30" spans="1:17" x14ac:dyDescent="0.3">
      <c r="A30" s="2" t="s">
        <v>54</v>
      </c>
      <c r="B30" s="2">
        <v>10000</v>
      </c>
      <c r="C30" s="2" t="s">
        <v>18</v>
      </c>
      <c r="D30" s="2" t="s">
        <v>19</v>
      </c>
      <c r="E30" s="2" t="s">
        <v>26</v>
      </c>
      <c r="F30" s="3">
        <v>46147.583333333336</v>
      </c>
      <c r="G30" s="3">
        <v>46147.625</v>
      </c>
      <c r="H30" s="2">
        <v>1</v>
      </c>
      <c r="I30" s="2" t="s">
        <v>55</v>
      </c>
      <c r="J30" s="2" t="s">
        <v>56</v>
      </c>
      <c r="K30" s="2">
        <v>8</v>
      </c>
      <c r="L30" s="2">
        <v>7</v>
      </c>
      <c r="M30" s="2">
        <v>600</v>
      </c>
      <c r="N30" s="2">
        <v>580</v>
      </c>
      <c r="O30" s="2">
        <v>1400</v>
      </c>
      <c r="P30" s="2">
        <v>1800</v>
      </c>
      <c r="Q30" s="2">
        <v>1400</v>
      </c>
    </row>
    <row r="31" spans="1:17" ht="28.8" x14ac:dyDescent="0.3">
      <c r="A31" s="2" t="s">
        <v>57</v>
      </c>
      <c r="B31" s="2">
        <v>12000</v>
      </c>
      <c r="C31" s="2" t="s">
        <v>24</v>
      </c>
      <c r="D31" s="2" t="s">
        <v>25</v>
      </c>
      <c r="E31" s="2" t="s">
        <v>32</v>
      </c>
      <c r="F31" s="3">
        <v>46148.375</v>
      </c>
      <c r="G31" s="3">
        <v>46148.458333333336</v>
      </c>
      <c r="H31" s="2">
        <v>2</v>
      </c>
      <c r="I31" s="2" t="s">
        <v>58</v>
      </c>
      <c r="J31" s="2" t="s">
        <v>59</v>
      </c>
      <c r="K31" s="2">
        <v>9</v>
      </c>
      <c r="L31" s="2">
        <v>7</v>
      </c>
      <c r="M31" s="2">
        <v>700</v>
      </c>
      <c r="N31" s="2">
        <v>650</v>
      </c>
      <c r="O31" s="2">
        <v>1500</v>
      </c>
      <c r="P31" s="2">
        <v>2500</v>
      </c>
      <c r="Q31" s="2">
        <v>3000</v>
      </c>
    </row>
    <row r="32" spans="1:17" ht="28.8" x14ac:dyDescent="0.3">
      <c r="A32" s="2" t="s">
        <v>60</v>
      </c>
      <c r="B32" s="2">
        <v>8000</v>
      </c>
      <c r="C32" s="2" t="s">
        <v>30</v>
      </c>
      <c r="D32" s="2" t="s">
        <v>31</v>
      </c>
      <c r="E32" s="2" t="s">
        <v>36</v>
      </c>
      <c r="F32" s="3">
        <v>46148.541666666664</v>
      </c>
      <c r="G32" s="3">
        <v>46148.604166666664</v>
      </c>
      <c r="H32" s="2">
        <v>1.5</v>
      </c>
      <c r="I32" s="2" t="s">
        <v>61</v>
      </c>
      <c r="J32" s="2" t="s">
        <v>62</v>
      </c>
      <c r="K32" s="2">
        <v>8</v>
      </c>
      <c r="L32" s="2">
        <v>6.5</v>
      </c>
      <c r="M32" s="2">
        <v>550</v>
      </c>
      <c r="N32" s="2">
        <v>500</v>
      </c>
      <c r="O32" s="2">
        <v>1600</v>
      </c>
      <c r="P32" s="2">
        <v>2000</v>
      </c>
      <c r="Q32" s="2">
        <v>2400</v>
      </c>
    </row>
    <row r="33" spans="1:17" x14ac:dyDescent="0.3">
      <c r="A33" s="2" t="s">
        <v>63</v>
      </c>
      <c r="B33" s="2">
        <v>15000</v>
      </c>
      <c r="C33" s="2" t="s">
        <v>18</v>
      </c>
      <c r="D33" s="2" t="s">
        <v>19</v>
      </c>
      <c r="E33" s="2" t="s">
        <v>20</v>
      </c>
      <c r="F33" s="3">
        <v>46149.333333333336</v>
      </c>
      <c r="G33" s="3">
        <v>46149.416666666664</v>
      </c>
      <c r="H33" s="2">
        <v>2</v>
      </c>
      <c r="I33" s="2" t="s">
        <v>64</v>
      </c>
      <c r="J33" s="2" t="s">
        <v>65</v>
      </c>
      <c r="K33" s="2">
        <v>8</v>
      </c>
      <c r="L33" s="2">
        <v>6</v>
      </c>
      <c r="M33" s="2">
        <v>500</v>
      </c>
      <c r="N33" s="2">
        <v>460</v>
      </c>
      <c r="O33" s="2">
        <v>1500</v>
      </c>
      <c r="P33" s="2">
        <v>2500</v>
      </c>
      <c r="Q33" s="2">
        <v>3000</v>
      </c>
    </row>
    <row r="34" spans="1:17" x14ac:dyDescent="0.3">
      <c r="A34" s="2" t="s">
        <v>66</v>
      </c>
      <c r="B34" s="2">
        <v>5000</v>
      </c>
      <c r="C34" s="2" t="s">
        <v>24</v>
      </c>
      <c r="D34" s="2" t="s">
        <v>25</v>
      </c>
      <c r="E34" s="2" t="s">
        <v>26</v>
      </c>
      <c r="F34" s="3">
        <v>46149.625</v>
      </c>
      <c r="G34" s="3">
        <v>46149.666666666664</v>
      </c>
      <c r="H34" s="2">
        <v>1</v>
      </c>
      <c r="I34" s="2" t="s">
        <v>67</v>
      </c>
      <c r="J34" s="2" t="s">
        <v>68</v>
      </c>
      <c r="K34" s="2">
        <v>7</v>
      </c>
      <c r="L34" s="2">
        <v>6.5</v>
      </c>
      <c r="M34" s="2">
        <v>480</v>
      </c>
      <c r="N34" s="2">
        <v>460</v>
      </c>
      <c r="O34" s="2">
        <v>1300</v>
      </c>
      <c r="P34" s="2">
        <v>1800</v>
      </c>
      <c r="Q34" s="2">
        <v>1300</v>
      </c>
    </row>
    <row r="35" spans="1:17" ht="28.8" x14ac:dyDescent="0.3">
      <c r="A35" s="2" t="s">
        <v>69</v>
      </c>
      <c r="B35" s="2">
        <v>11000</v>
      </c>
      <c r="C35" s="2" t="s">
        <v>30</v>
      </c>
      <c r="D35" s="2" t="s">
        <v>31</v>
      </c>
      <c r="E35" s="2" t="s">
        <v>32</v>
      </c>
      <c r="F35" s="3">
        <v>46150.375</v>
      </c>
      <c r="G35" s="3">
        <v>46150.479166666664</v>
      </c>
      <c r="H35" s="2">
        <v>2.5</v>
      </c>
      <c r="I35" s="2" t="s">
        <v>70</v>
      </c>
      <c r="J35" s="2" t="s">
        <v>71</v>
      </c>
      <c r="K35" s="2">
        <v>9</v>
      </c>
      <c r="L35" s="2">
        <v>6.5</v>
      </c>
      <c r="M35" s="2">
        <v>700</v>
      </c>
      <c r="N35" s="2">
        <v>620</v>
      </c>
      <c r="O35" s="2">
        <v>1600</v>
      </c>
      <c r="P35" s="2">
        <v>3000</v>
      </c>
      <c r="Q35" s="2">
        <v>4000</v>
      </c>
    </row>
    <row r="36" spans="1:17" ht="28.8" x14ac:dyDescent="0.3">
      <c r="A36" s="2" t="s">
        <v>73</v>
      </c>
      <c r="B36" s="2">
        <v>9000</v>
      </c>
      <c r="C36" s="2" t="s">
        <v>18</v>
      </c>
      <c r="D36" s="2" t="s">
        <v>19</v>
      </c>
      <c r="E36" s="2" t="s">
        <v>36</v>
      </c>
      <c r="F36" s="3">
        <v>46150.5</v>
      </c>
      <c r="G36" s="3">
        <v>46150.5625</v>
      </c>
      <c r="H36" s="2">
        <v>1.5</v>
      </c>
      <c r="I36" s="2" t="s">
        <v>74</v>
      </c>
      <c r="J36" s="2" t="s">
        <v>75</v>
      </c>
      <c r="K36" s="2">
        <v>8</v>
      </c>
      <c r="L36" s="2">
        <v>6.5</v>
      </c>
      <c r="M36" s="2">
        <v>520</v>
      </c>
      <c r="N36" s="2">
        <v>480</v>
      </c>
      <c r="O36" s="2">
        <v>1400</v>
      </c>
      <c r="P36" s="2">
        <v>2000</v>
      </c>
      <c r="Q36" s="2">
        <v>2100</v>
      </c>
    </row>
    <row r="37" spans="1:17" x14ac:dyDescent="0.3">
      <c r="A37" s="2" t="s">
        <v>76</v>
      </c>
      <c r="B37" s="2">
        <v>7000</v>
      </c>
      <c r="C37" s="2" t="s">
        <v>24</v>
      </c>
      <c r="D37" s="2" t="s">
        <v>25</v>
      </c>
      <c r="E37" s="2" t="s">
        <v>20</v>
      </c>
      <c r="F37" s="3">
        <v>46151.354166666664</v>
      </c>
      <c r="G37" s="3">
        <v>46151.416666666664</v>
      </c>
      <c r="H37" s="2">
        <v>1.5</v>
      </c>
      <c r="I37" s="2" t="s">
        <v>77</v>
      </c>
      <c r="J37" s="2" t="s">
        <v>78</v>
      </c>
      <c r="K37" s="2">
        <v>8</v>
      </c>
      <c r="L37" s="2">
        <v>6.5</v>
      </c>
      <c r="M37" s="2">
        <v>600</v>
      </c>
      <c r="N37" s="2">
        <v>560</v>
      </c>
      <c r="O37" s="2">
        <v>1500</v>
      </c>
      <c r="P37" s="2">
        <v>2000</v>
      </c>
      <c r="Q37" s="2">
        <v>2250</v>
      </c>
    </row>
    <row r="38" spans="1:17" x14ac:dyDescent="0.3">
      <c r="A38" s="2" t="s">
        <v>79</v>
      </c>
      <c r="B38" s="2">
        <v>13000</v>
      </c>
      <c r="C38" s="2" t="s">
        <v>30</v>
      </c>
      <c r="D38" s="2" t="s">
        <v>31</v>
      </c>
      <c r="E38" s="2" t="s">
        <v>26</v>
      </c>
      <c r="F38" s="3">
        <v>46151.583333333336</v>
      </c>
      <c r="G38" s="3">
        <v>46151.625</v>
      </c>
      <c r="H38" s="2">
        <v>1</v>
      </c>
      <c r="I38" s="2" t="s">
        <v>80</v>
      </c>
      <c r="J38" s="2" t="s">
        <v>81</v>
      </c>
      <c r="K38" s="2">
        <v>8</v>
      </c>
      <c r="L38" s="2">
        <v>7</v>
      </c>
      <c r="M38" s="2">
        <v>650</v>
      </c>
      <c r="N38" s="2">
        <v>630</v>
      </c>
      <c r="O38" s="2">
        <v>1400</v>
      </c>
      <c r="P38" s="2">
        <v>1800</v>
      </c>
      <c r="Q38" s="2">
        <v>1400</v>
      </c>
    </row>
    <row r="39" spans="1:17" ht="28.8" x14ac:dyDescent="0.3">
      <c r="A39" s="2" t="s">
        <v>82</v>
      </c>
      <c r="B39" s="2">
        <v>6000</v>
      </c>
      <c r="C39" s="2" t="s">
        <v>18</v>
      </c>
      <c r="D39" s="2" t="s">
        <v>19</v>
      </c>
      <c r="E39" s="2" t="s">
        <v>32</v>
      </c>
      <c r="F39" s="3">
        <v>46152.375</v>
      </c>
      <c r="G39" s="3">
        <v>46152.458333333336</v>
      </c>
      <c r="H39" s="2">
        <v>2</v>
      </c>
      <c r="I39" s="2" t="s">
        <v>83</v>
      </c>
      <c r="J39" s="2" t="s">
        <v>84</v>
      </c>
      <c r="K39" s="2">
        <v>9</v>
      </c>
      <c r="L39" s="2">
        <v>7</v>
      </c>
      <c r="M39" s="2">
        <v>700</v>
      </c>
      <c r="N39" s="2">
        <v>660</v>
      </c>
      <c r="O39" s="2">
        <v>1500</v>
      </c>
      <c r="P39" s="2">
        <v>2500</v>
      </c>
      <c r="Q39" s="2">
        <v>3000</v>
      </c>
    </row>
    <row r="40" spans="1:17" ht="28.8" x14ac:dyDescent="0.3">
      <c r="A40" s="2" t="s">
        <v>85</v>
      </c>
      <c r="B40" s="2">
        <v>10000</v>
      </c>
      <c r="C40" s="2" t="s">
        <v>24</v>
      </c>
      <c r="D40" s="2" t="s">
        <v>25</v>
      </c>
      <c r="E40" s="2" t="s">
        <v>36</v>
      </c>
      <c r="F40" s="3">
        <v>46152.541666666664</v>
      </c>
      <c r="G40" s="3">
        <v>46152.625</v>
      </c>
      <c r="H40" s="2">
        <v>2</v>
      </c>
      <c r="I40" s="2" t="s">
        <v>86</v>
      </c>
      <c r="J40" s="2" t="s">
        <v>87</v>
      </c>
      <c r="K40" s="2">
        <v>8</v>
      </c>
      <c r="L40" s="2">
        <v>6</v>
      </c>
      <c r="M40" s="2">
        <v>500</v>
      </c>
      <c r="N40" s="2">
        <v>470</v>
      </c>
      <c r="O40" s="2">
        <v>1600</v>
      </c>
      <c r="P40" s="2">
        <v>2500</v>
      </c>
      <c r="Q40" s="2">
        <v>3200</v>
      </c>
    </row>
    <row r="41" spans="1:17" ht="43.2" x14ac:dyDescent="0.3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</row>
    <row r="42" spans="1:17" ht="28.8" x14ac:dyDescent="0.3">
      <c r="A42" s="2" t="s">
        <v>85</v>
      </c>
      <c r="B42" s="2">
        <v>10000</v>
      </c>
      <c r="C42" s="2" t="s">
        <v>24</v>
      </c>
      <c r="D42" s="2" t="s">
        <v>25</v>
      </c>
      <c r="E42" s="2" t="s">
        <v>36</v>
      </c>
      <c r="F42" s="3">
        <v>46152.541666666664</v>
      </c>
      <c r="G42" s="3">
        <v>46152.625</v>
      </c>
      <c r="H42" s="2">
        <v>2</v>
      </c>
      <c r="I42" s="2" t="s">
        <v>86</v>
      </c>
      <c r="J42" s="2" t="s">
        <v>87</v>
      </c>
      <c r="K42" s="2">
        <v>8</v>
      </c>
      <c r="L42" s="2">
        <v>6</v>
      </c>
      <c r="M42" s="2">
        <v>500</v>
      </c>
      <c r="N42" s="2">
        <v>470</v>
      </c>
      <c r="O42" s="2">
        <v>1600</v>
      </c>
      <c r="P42" s="2">
        <v>2500</v>
      </c>
      <c r="Q42" s="2">
        <v>3200</v>
      </c>
    </row>
    <row r="43" spans="1:17" x14ac:dyDescent="0.3">
      <c r="A43" s="2" t="s">
        <v>88</v>
      </c>
      <c r="B43" s="2">
        <v>12000</v>
      </c>
      <c r="C43" s="2" t="s">
        <v>30</v>
      </c>
      <c r="D43" s="2" t="s">
        <v>31</v>
      </c>
      <c r="E43" s="2" t="s">
        <v>20</v>
      </c>
      <c r="F43" s="3">
        <v>46153.333333333336</v>
      </c>
      <c r="G43" s="3">
        <v>46153.395833333336</v>
      </c>
      <c r="H43" s="2">
        <v>1.5</v>
      </c>
      <c r="I43" s="2" t="s">
        <v>89</v>
      </c>
      <c r="J43" s="2" t="s">
        <v>90</v>
      </c>
      <c r="K43" s="2">
        <v>7</v>
      </c>
      <c r="L43" s="2">
        <v>6</v>
      </c>
      <c r="M43" s="2">
        <v>480</v>
      </c>
      <c r="N43" s="2">
        <v>450</v>
      </c>
      <c r="O43" s="2">
        <v>1300</v>
      </c>
      <c r="P43" s="2">
        <v>2000</v>
      </c>
      <c r="Q43" s="2">
        <v>1950</v>
      </c>
    </row>
    <row r="44" spans="1:17" x14ac:dyDescent="0.3">
      <c r="A44" s="2" t="s">
        <v>91</v>
      </c>
      <c r="B44" s="2">
        <v>8000</v>
      </c>
      <c r="C44" s="2" t="s">
        <v>18</v>
      </c>
      <c r="D44" s="2" t="s">
        <v>19</v>
      </c>
      <c r="E44" s="2" t="s">
        <v>26</v>
      </c>
      <c r="F44" s="3">
        <v>46153.583333333336</v>
      </c>
      <c r="G44" s="3">
        <v>46153.625</v>
      </c>
      <c r="H44" s="2">
        <v>1</v>
      </c>
      <c r="I44" s="2" t="s">
        <v>92</v>
      </c>
      <c r="J44" s="2" t="s">
        <v>93</v>
      </c>
      <c r="K44" s="2">
        <v>8</v>
      </c>
      <c r="L44" s="2">
        <v>7</v>
      </c>
      <c r="M44" s="2">
        <v>600</v>
      </c>
      <c r="N44" s="2">
        <v>580</v>
      </c>
      <c r="O44" s="2">
        <v>1400</v>
      </c>
      <c r="P44" s="2">
        <v>1800</v>
      </c>
      <c r="Q44" s="2">
        <v>1400</v>
      </c>
    </row>
    <row r="45" spans="1:17" ht="28.8" x14ac:dyDescent="0.3">
      <c r="A45" s="2" t="s">
        <v>94</v>
      </c>
      <c r="B45" s="2">
        <v>15000</v>
      </c>
      <c r="C45" s="2" t="s">
        <v>24</v>
      </c>
      <c r="D45" s="2" t="s">
        <v>25</v>
      </c>
      <c r="E45" s="2" t="s">
        <v>32</v>
      </c>
      <c r="F45" s="3">
        <v>46154.375</v>
      </c>
      <c r="G45" s="3">
        <v>46154.458333333336</v>
      </c>
      <c r="H45" s="2">
        <v>2</v>
      </c>
      <c r="I45" s="2" t="s">
        <v>95</v>
      </c>
      <c r="J45" s="2" t="s">
        <v>96</v>
      </c>
      <c r="K45" s="2">
        <v>9</v>
      </c>
      <c r="L45" s="2">
        <v>7</v>
      </c>
      <c r="M45" s="2">
        <v>700</v>
      </c>
      <c r="N45" s="2">
        <v>650</v>
      </c>
      <c r="O45" s="2">
        <v>1500</v>
      </c>
      <c r="P45" s="2">
        <v>2500</v>
      </c>
      <c r="Q45" s="2">
        <v>3000</v>
      </c>
    </row>
    <row r="46" spans="1:17" ht="28.8" x14ac:dyDescent="0.3">
      <c r="A46" s="2" t="s">
        <v>97</v>
      </c>
      <c r="B46" s="2">
        <v>5000</v>
      </c>
      <c r="C46" s="2" t="s">
        <v>30</v>
      </c>
      <c r="D46" s="2" t="s">
        <v>31</v>
      </c>
      <c r="E46" s="2" t="s">
        <v>36</v>
      </c>
      <c r="F46" s="3">
        <v>46154.541666666664</v>
      </c>
      <c r="G46" s="3">
        <v>46154.604166666664</v>
      </c>
      <c r="H46" s="2">
        <v>1.5</v>
      </c>
      <c r="I46" s="2" t="s">
        <v>98</v>
      </c>
      <c r="J46" s="2" t="s">
        <v>99</v>
      </c>
      <c r="K46" s="2">
        <v>8</v>
      </c>
      <c r="L46" s="2">
        <v>6.5</v>
      </c>
      <c r="M46" s="2">
        <v>550</v>
      </c>
      <c r="N46" s="2">
        <v>500</v>
      </c>
      <c r="O46" s="2">
        <v>1600</v>
      </c>
      <c r="P46" s="2">
        <v>2000</v>
      </c>
      <c r="Q46" s="2">
        <v>2400</v>
      </c>
    </row>
    <row r="47" spans="1:17" x14ac:dyDescent="0.3">
      <c r="A47" s="2" t="s">
        <v>100</v>
      </c>
      <c r="B47" s="2">
        <v>11000</v>
      </c>
      <c r="C47" s="2" t="s">
        <v>18</v>
      </c>
      <c r="D47" s="2" t="s">
        <v>19</v>
      </c>
      <c r="E47" s="2" t="s">
        <v>20</v>
      </c>
      <c r="F47" s="3">
        <v>46155.333333333336</v>
      </c>
      <c r="G47" s="3">
        <v>46155.416666666664</v>
      </c>
      <c r="H47" s="2">
        <v>2</v>
      </c>
      <c r="I47" s="2" t="s">
        <v>101</v>
      </c>
      <c r="J47" s="2" t="s">
        <v>102</v>
      </c>
      <c r="K47" s="2">
        <v>8</v>
      </c>
      <c r="L47" s="2">
        <v>6</v>
      </c>
      <c r="M47" s="2">
        <v>500</v>
      </c>
      <c r="N47" s="2">
        <v>460</v>
      </c>
      <c r="O47" s="2">
        <v>1500</v>
      </c>
      <c r="P47" s="2">
        <v>2500</v>
      </c>
      <c r="Q47" s="2">
        <v>3000</v>
      </c>
    </row>
    <row r="48" spans="1:17" x14ac:dyDescent="0.3">
      <c r="A48" s="2" t="s">
        <v>103</v>
      </c>
      <c r="B48" s="2">
        <v>9000</v>
      </c>
      <c r="C48" s="2" t="s">
        <v>24</v>
      </c>
      <c r="D48" s="2" t="s">
        <v>25</v>
      </c>
      <c r="E48" s="2" t="s">
        <v>26</v>
      </c>
      <c r="F48" s="3">
        <v>46155.625</v>
      </c>
      <c r="G48" s="3">
        <v>46155.666666666664</v>
      </c>
      <c r="H48" s="2">
        <v>1</v>
      </c>
      <c r="I48" s="2" t="s">
        <v>104</v>
      </c>
      <c r="J48" s="2" t="s">
        <v>105</v>
      </c>
      <c r="K48" s="2">
        <v>7</v>
      </c>
      <c r="L48" s="2">
        <v>6.5</v>
      </c>
      <c r="M48" s="2">
        <v>480</v>
      </c>
      <c r="N48" s="2">
        <v>460</v>
      </c>
      <c r="O48" s="2">
        <v>1300</v>
      </c>
      <c r="P48" s="2">
        <v>1800</v>
      </c>
      <c r="Q48" s="2">
        <v>1300</v>
      </c>
    </row>
    <row r="49" spans="1:17" ht="28.8" x14ac:dyDescent="0.3">
      <c r="A49" s="2" t="s">
        <v>106</v>
      </c>
      <c r="B49" s="2">
        <v>7000</v>
      </c>
      <c r="C49" s="2" t="s">
        <v>30</v>
      </c>
      <c r="D49" s="2" t="s">
        <v>31</v>
      </c>
      <c r="E49" s="2" t="s">
        <v>32</v>
      </c>
      <c r="F49" s="3">
        <v>46156.375</v>
      </c>
      <c r="G49" s="3">
        <v>46156.479166666664</v>
      </c>
      <c r="H49" s="2">
        <v>2.5</v>
      </c>
      <c r="I49" s="2" t="s">
        <v>107</v>
      </c>
      <c r="J49" s="2" t="s">
        <v>108</v>
      </c>
      <c r="K49" s="2">
        <v>9</v>
      </c>
      <c r="L49" s="2">
        <v>6.5</v>
      </c>
      <c r="M49" s="2">
        <v>700</v>
      </c>
      <c r="N49" s="2">
        <v>620</v>
      </c>
      <c r="O49" s="2">
        <v>1600</v>
      </c>
      <c r="P49" s="2">
        <v>3000</v>
      </c>
      <c r="Q49" s="2">
        <v>4000</v>
      </c>
    </row>
    <row r="50" spans="1:17" ht="28.8" x14ac:dyDescent="0.3">
      <c r="A50" s="2" t="s">
        <v>109</v>
      </c>
      <c r="B50" s="2">
        <v>13000</v>
      </c>
      <c r="C50" s="2" t="s">
        <v>18</v>
      </c>
      <c r="D50" s="2" t="s">
        <v>19</v>
      </c>
      <c r="E50" s="2" t="s">
        <v>36</v>
      </c>
      <c r="F50" s="3">
        <v>46156.5</v>
      </c>
      <c r="G50" s="3">
        <v>46156.5625</v>
      </c>
      <c r="H50" s="2">
        <v>1.5</v>
      </c>
      <c r="I50" s="2" t="s">
        <v>110</v>
      </c>
      <c r="J50" s="2" t="s">
        <v>111</v>
      </c>
      <c r="K50" s="2">
        <v>8</v>
      </c>
      <c r="L50" s="2">
        <v>6.5</v>
      </c>
      <c r="M50" s="2">
        <v>520</v>
      </c>
      <c r="N50" s="2">
        <v>480</v>
      </c>
      <c r="O50" s="2">
        <v>1400</v>
      </c>
      <c r="P50" s="2">
        <v>2000</v>
      </c>
      <c r="Q50" s="2">
        <v>2100</v>
      </c>
    </row>
    <row r="51" spans="1:17" x14ac:dyDescent="0.3">
      <c r="A51" s="2" t="s">
        <v>112</v>
      </c>
      <c r="B51" s="2">
        <v>6000</v>
      </c>
      <c r="C51" s="2" t="s">
        <v>24</v>
      </c>
      <c r="D51" s="2" t="s">
        <v>25</v>
      </c>
      <c r="E51" s="2" t="s">
        <v>20</v>
      </c>
      <c r="F51" s="3">
        <v>46157.354166666664</v>
      </c>
      <c r="G51" s="3">
        <v>46157.416666666664</v>
      </c>
      <c r="H51" s="2">
        <v>1.5</v>
      </c>
      <c r="I51" s="2" t="s">
        <v>113</v>
      </c>
      <c r="J51" s="2" t="s">
        <v>114</v>
      </c>
      <c r="K51" s="2">
        <v>8</v>
      </c>
      <c r="L51" s="2">
        <v>6.5</v>
      </c>
      <c r="M51" s="2">
        <v>600</v>
      </c>
      <c r="N51" s="2">
        <v>560</v>
      </c>
      <c r="O51" s="2">
        <v>1500</v>
      </c>
      <c r="P51" s="2">
        <v>2000</v>
      </c>
      <c r="Q51" s="2">
        <v>2250</v>
      </c>
    </row>
    <row r="52" spans="1:17" x14ac:dyDescent="0.3">
      <c r="A52" s="2" t="s">
        <v>115</v>
      </c>
      <c r="B52" s="2">
        <v>10000</v>
      </c>
      <c r="C52" s="2" t="s">
        <v>30</v>
      </c>
      <c r="D52" s="2" t="s">
        <v>31</v>
      </c>
      <c r="E52" s="2" t="s">
        <v>26</v>
      </c>
      <c r="F52" s="3">
        <v>46157.583333333336</v>
      </c>
      <c r="G52" s="3">
        <v>46157.625</v>
      </c>
      <c r="H52" s="2">
        <v>1</v>
      </c>
      <c r="I52" s="2" t="s">
        <v>116</v>
      </c>
      <c r="J52" s="2" t="s">
        <v>117</v>
      </c>
      <c r="K52" s="2">
        <v>8</v>
      </c>
      <c r="L52" s="2">
        <v>7</v>
      </c>
      <c r="M52" s="2">
        <v>650</v>
      </c>
      <c r="N52" s="2">
        <v>630</v>
      </c>
      <c r="O52" s="2">
        <v>1400</v>
      </c>
      <c r="P52" s="2">
        <v>1800</v>
      </c>
      <c r="Q52" s="2">
        <v>1400</v>
      </c>
    </row>
    <row r="53" spans="1:17" ht="28.8" x14ac:dyDescent="0.3">
      <c r="A53" s="2" t="s">
        <v>118</v>
      </c>
      <c r="B53" s="2">
        <v>12000</v>
      </c>
      <c r="C53" s="2" t="s">
        <v>18</v>
      </c>
      <c r="D53" s="2" t="s">
        <v>19</v>
      </c>
      <c r="E53" s="2" t="s">
        <v>32</v>
      </c>
      <c r="F53" s="3">
        <v>46158.375</v>
      </c>
      <c r="G53" s="3">
        <v>46158.458333333336</v>
      </c>
      <c r="H53" s="2">
        <v>2</v>
      </c>
      <c r="I53" s="2" t="s">
        <v>119</v>
      </c>
      <c r="J53" s="2" t="s">
        <v>120</v>
      </c>
      <c r="K53" s="2">
        <v>9</v>
      </c>
      <c r="L53" s="2">
        <v>7</v>
      </c>
      <c r="M53" s="2">
        <v>700</v>
      </c>
      <c r="N53" s="2">
        <v>660</v>
      </c>
      <c r="O53" s="2">
        <v>1500</v>
      </c>
      <c r="P53" s="2">
        <v>2500</v>
      </c>
      <c r="Q53" s="2">
        <v>3000</v>
      </c>
    </row>
    <row r="54" spans="1:17" ht="28.8" x14ac:dyDescent="0.3">
      <c r="A54" s="2" t="s">
        <v>121</v>
      </c>
      <c r="B54" s="2">
        <v>8000</v>
      </c>
      <c r="C54" s="2" t="s">
        <v>24</v>
      </c>
      <c r="D54" s="2" t="s">
        <v>25</v>
      </c>
      <c r="E54" s="2" t="s">
        <v>36</v>
      </c>
      <c r="F54" s="3">
        <v>46158.541666666664</v>
      </c>
      <c r="G54" s="3">
        <v>46158.604166666664</v>
      </c>
      <c r="H54" s="2">
        <v>1.5</v>
      </c>
      <c r="I54" s="2" t="s">
        <v>122</v>
      </c>
      <c r="J54" s="2" t="s">
        <v>123</v>
      </c>
      <c r="K54" s="2">
        <v>8</v>
      </c>
      <c r="L54" s="2">
        <v>6.5</v>
      </c>
      <c r="M54" s="2">
        <v>550</v>
      </c>
      <c r="N54" s="2">
        <v>500</v>
      </c>
      <c r="O54" s="2">
        <v>1600</v>
      </c>
      <c r="P54" s="2">
        <v>2000</v>
      </c>
      <c r="Q54" s="2">
        <v>2400</v>
      </c>
    </row>
    <row r="55" spans="1:17" x14ac:dyDescent="0.3">
      <c r="A55" s="2" t="s">
        <v>124</v>
      </c>
      <c r="B55" s="2">
        <v>15000</v>
      </c>
      <c r="C55" s="2" t="s">
        <v>30</v>
      </c>
      <c r="D55" s="2" t="s">
        <v>31</v>
      </c>
      <c r="E55" s="2" t="s">
        <v>20</v>
      </c>
      <c r="F55" s="3">
        <v>46159.333333333336</v>
      </c>
      <c r="G55" s="3">
        <v>46159.416666666664</v>
      </c>
      <c r="H55" s="2">
        <v>2</v>
      </c>
      <c r="I55" s="2" t="s">
        <v>125</v>
      </c>
      <c r="J55" s="2" t="s">
        <v>126</v>
      </c>
      <c r="K55" s="2">
        <v>8</v>
      </c>
      <c r="L55" s="2">
        <v>6</v>
      </c>
      <c r="M55" s="2">
        <v>500</v>
      </c>
      <c r="N55" s="2">
        <v>460</v>
      </c>
      <c r="O55" s="2">
        <v>1500</v>
      </c>
      <c r="P55" s="2">
        <v>2500</v>
      </c>
      <c r="Q55" s="2">
        <v>3000</v>
      </c>
    </row>
    <row r="56" spans="1:17" x14ac:dyDescent="0.3">
      <c r="A56" s="2" t="s">
        <v>127</v>
      </c>
      <c r="B56" s="2">
        <v>5000</v>
      </c>
      <c r="C56" s="2" t="s">
        <v>18</v>
      </c>
      <c r="D56" s="2" t="s">
        <v>19</v>
      </c>
      <c r="E56" s="2" t="s">
        <v>26</v>
      </c>
      <c r="F56" s="3">
        <v>46159.625</v>
      </c>
      <c r="G56" s="3">
        <v>46159.666666666664</v>
      </c>
      <c r="H56" s="2">
        <v>1</v>
      </c>
      <c r="I56" s="2" t="s">
        <v>128</v>
      </c>
      <c r="J56" s="2" t="s">
        <v>129</v>
      </c>
      <c r="K56" s="2">
        <v>7</v>
      </c>
      <c r="L56" s="2">
        <v>6.5</v>
      </c>
      <c r="M56" s="2">
        <v>480</v>
      </c>
      <c r="N56" s="2">
        <v>460</v>
      </c>
      <c r="O56" s="2">
        <v>1300</v>
      </c>
      <c r="P56" s="2">
        <v>1800</v>
      </c>
      <c r="Q56" s="2">
        <v>1300</v>
      </c>
    </row>
    <row r="57" spans="1:17" ht="28.8" x14ac:dyDescent="0.3">
      <c r="A57" s="2" t="s">
        <v>130</v>
      </c>
      <c r="B57" s="2">
        <v>11000</v>
      </c>
      <c r="C57" s="2" t="s">
        <v>24</v>
      </c>
      <c r="D57" s="2" t="s">
        <v>25</v>
      </c>
      <c r="E57" s="2" t="s">
        <v>32</v>
      </c>
      <c r="F57" s="3">
        <v>46160.375</v>
      </c>
      <c r="G57" s="3">
        <v>46160.479166666664</v>
      </c>
      <c r="H57" s="2">
        <v>2.5</v>
      </c>
      <c r="I57" s="2" t="s">
        <v>131</v>
      </c>
      <c r="J57" s="2" t="s">
        <v>132</v>
      </c>
      <c r="K57" s="2">
        <v>9</v>
      </c>
      <c r="L57" s="2">
        <v>6.5</v>
      </c>
      <c r="M57" s="2">
        <v>700</v>
      </c>
      <c r="N57" s="2">
        <v>620</v>
      </c>
      <c r="O57" s="2">
        <v>1600</v>
      </c>
      <c r="P57" s="2">
        <v>3000</v>
      </c>
      <c r="Q57" s="2">
        <v>4000</v>
      </c>
    </row>
    <row r="58" spans="1:17" ht="28.8" x14ac:dyDescent="0.3">
      <c r="A58" s="2" t="s">
        <v>133</v>
      </c>
      <c r="B58" s="2">
        <v>9000</v>
      </c>
      <c r="C58" s="2" t="s">
        <v>30</v>
      </c>
      <c r="D58" s="2" t="s">
        <v>31</v>
      </c>
      <c r="E58" s="2" t="s">
        <v>36</v>
      </c>
      <c r="F58" s="3">
        <v>46160.5</v>
      </c>
      <c r="G58" s="3">
        <v>46160.5625</v>
      </c>
      <c r="H58" s="2">
        <v>1.5</v>
      </c>
      <c r="I58" s="2" t="s">
        <v>134</v>
      </c>
      <c r="J58" s="2" t="s">
        <v>135</v>
      </c>
      <c r="K58" s="2">
        <v>8</v>
      </c>
      <c r="L58" s="2">
        <v>6.5</v>
      </c>
      <c r="M58" s="2">
        <v>520</v>
      </c>
      <c r="N58" s="2">
        <v>480</v>
      </c>
      <c r="O58" s="2">
        <v>1400</v>
      </c>
      <c r="P58" s="2">
        <v>2000</v>
      </c>
      <c r="Q58" s="2">
        <v>2100</v>
      </c>
    </row>
    <row r="59" spans="1:17" x14ac:dyDescent="0.3">
      <c r="A59" s="2" t="s">
        <v>136</v>
      </c>
      <c r="B59" s="2">
        <v>7000</v>
      </c>
      <c r="C59" s="2" t="s">
        <v>18</v>
      </c>
      <c r="D59" s="2" t="s">
        <v>19</v>
      </c>
      <c r="E59" s="2" t="s">
        <v>20</v>
      </c>
      <c r="F59" s="3">
        <v>46161.354166666664</v>
      </c>
      <c r="G59" s="3">
        <v>46161.416666666664</v>
      </c>
      <c r="H59" s="2">
        <v>1.5</v>
      </c>
      <c r="I59" s="2" t="s">
        <v>137</v>
      </c>
      <c r="J59" s="2" t="s">
        <v>138</v>
      </c>
      <c r="K59" s="2">
        <v>8</v>
      </c>
      <c r="L59" s="2">
        <v>6.5</v>
      </c>
      <c r="M59" s="2">
        <v>600</v>
      </c>
      <c r="N59" s="2">
        <v>560</v>
      </c>
      <c r="O59" s="2">
        <v>1500</v>
      </c>
      <c r="P59" s="2">
        <v>2000</v>
      </c>
      <c r="Q59" s="2">
        <v>2250</v>
      </c>
    </row>
    <row r="60" spans="1:17" x14ac:dyDescent="0.3">
      <c r="A60" s="2" t="s">
        <v>139</v>
      </c>
      <c r="B60" s="2">
        <v>13000</v>
      </c>
      <c r="C60" s="2" t="s">
        <v>24</v>
      </c>
      <c r="D60" s="2" t="s">
        <v>25</v>
      </c>
      <c r="E60" s="2" t="s">
        <v>26</v>
      </c>
      <c r="F60" s="3">
        <v>46161.583333333336</v>
      </c>
      <c r="G60" s="3">
        <v>46161.625</v>
      </c>
      <c r="H60" s="2">
        <v>1</v>
      </c>
      <c r="I60" s="2" t="s">
        <v>140</v>
      </c>
      <c r="J60" s="2" t="s">
        <v>141</v>
      </c>
      <c r="K60" s="2">
        <v>8</v>
      </c>
      <c r="L60" s="2">
        <v>7</v>
      </c>
      <c r="M60" s="2">
        <v>650</v>
      </c>
      <c r="N60" s="2">
        <v>630</v>
      </c>
      <c r="O60" s="2">
        <v>1400</v>
      </c>
      <c r="P60" s="2">
        <v>1800</v>
      </c>
      <c r="Q60" s="2">
        <v>1400</v>
      </c>
    </row>
    <row r="61" spans="1:17" ht="28.8" x14ac:dyDescent="0.3">
      <c r="A61" s="2" t="s">
        <v>142</v>
      </c>
      <c r="B61" s="2">
        <v>6000</v>
      </c>
      <c r="C61" s="2" t="s">
        <v>30</v>
      </c>
      <c r="D61" s="2" t="s">
        <v>31</v>
      </c>
      <c r="E61" s="2" t="s">
        <v>32</v>
      </c>
      <c r="F61" s="3">
        <v>46162.375</v>
      </c>
      <c r="G61" s="3">
        <v>46162.458333333336</v>
      </c>
      <c r="H61" s="2">
        <v>2</v>
      </c>
      <c r="I61" s="2" t="s">
        <v>143</v>
      </c>
      <c r="J61" s="2" t="s">
        <v>144</v>
      </c>
      <c r="K61" s="2">
        <v>9</v>
      </c>
      <c r="L61" s="2">
        <v>7</v>
      </c>
      <c r="M61" s="2">
        <v>700</v>
      </c>
      <c r="N61" s="2">
        <v>660</v>
      </c>
      <c r="O61" s="2">
        <v>1500</v>
      </c>
      <c r="P61" s="2">
        <v>2500</v>
      </c>
      <c r="Q61" s="2">
        <v>3000</v>
      </c>
    </row>
    <row r="62" spans="1:17" ht="28.8" x14ac:dyDescent="0.3">
      <c r="A62" s="2" t="s">
        <v>145</v>
      </c>
      <c r="B62" s="2">
        <v>10000</v>
      </c>
      <c r="C62" s="2" t="s">
        <v>18</v>
      </c>
      <c r="D62" s="2" t="s">
        <v>19</v>
      </c>
      <c r="E62" s="2" t="s">
        <v>36</v>
      </c>
      <c r="F62" s="3">
        <v>46162.541666666664</v>
      </c>
      <c r="G62" s="2" t="s">
        <v>146</v>
      </c>
    </row>
    <row r="63" spans="1:17" ht="43.2" x14ac:dyDescent="0.3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9</v>
      </c>
      <c r="K63" s="1" t="s">
        <v>10</v>
      </c>
      <c r="L63" s="1" t="s">
        <v>11</v>
      </c>
      <c r="M63" s="1" t="s">
        <v>12</v>
      </c>
      <c r="N63" s="1" t="s">
        <v>13</v>
      </c>
      <c r="O63" s="1" t="s">
        <v>14</v>
      </c>
      <c r="P63" s="1" t="s">
        <v>15</v>
      </c>
      <c r="Q63" s="1" t="s">
        <v>16</v>
      </c>
    </row>
    <row r="64" spans="1:17" ht="28.8" x14ac:dyDescent="0.3">
      <c r="A64" s="2" t="s">
        <v>145</v>
      </c>
      <c r="B64" s="2">
        <v>10000</v>
      </c>
      <c r="C64" s="2" t="s">
        <v>18</v>
      </c>
      <c r="D64" s="2" t="s">
        <v>19</v>
      </c>
      <c r="E64" s="2" t="s">
        <v>36</v>
      </c>
      <c r="F64" s="3">
        <v>46162.541666666664</v>
      </c>
      <c r="G64" s="3">
        <v>46162.625</v>
      </c>
      <c r="H64" s="2">
        <v>2</v>
      </c>
      <c r="I64" s="2" t="s">
        <v>147</v>
      </c>
      <c r="J64" s="2" t="s">
        <v>148</v>
      </c>
      <c r="K64" s="2">
        <v>8</v>
      </c>
      <c r="L64" s="2">
        <v>6</v>
      </c>
      <c r="M64" s="2">
        <v>500</v>
      </c>
      <c r="N64" s="2">
        <v>470</v>
      </c>
      <c r="O64" s="2">
        <v>1600</v>
      </c>
      <c r="P64" s="2">
        <v>2500</v>
      </c>
      <c r="Q64" s="2">
        <v>3200</v>
      </c>
    </row>
    <row r="65" spans="1:17" x14ac:dyDescent="0.3">
      <c r="A65" s="2" t="s">
        <v>149</v>
      </c>
      <c r="B65" s="2">
        <v>12000</v>
      </c>
      <c r="C65" s="2" t="s">
        <v>24</v>
      </c>
      <c r="D65" s="2" t="s">
        <v>25</v>
      </c>
      <c r="E65" s="2" t="s">
        <v>20</v>
      </c>
      <c r="F65" s="3">
        <v>46163.333333333336</v>
      </c>
      <c r="G65" s="3">
        <v>46163.395833333336</v>
      </c>
      <c r="H65" s="2">
        <v>1.5</v>
      </c>
      <c r="I65" s="2" t="s">
        <v>150</v>
      </c>
      <c r="J65" s="2" t="s">
        <v>151</v>
      </c>
      <c r="K65" s="2">
        <v>7</v>
      </c>
      <c r="L65" s="2">
        <v>6</v>
      </c>
      <c r="M65" s="2">
        <v>480</v>
      </c>
      <c r="N65" s="2">
        <v>450</v>
      </c>
      <c r="O65" s="2">
        <v>1300</v>
      </c>
      <c r="P65" s="2">
        <v>2000</v>
      </c>
      <c r="Q65" s="2">
        <v>1950</v>
      </c>
    </row>
    <row r="66" spans="1:17" x14ac:dyDescent="0.3">
      <c r="A66" s="2" t="s">
        <v>152</v>
      </c>
      <c r="B66" s="2">
        <v>8000</v>
      </c>
      <c r="C66" s="2" t="s">
        <v>30</v>
      </c>
      <c r="D66" s="2" t="s">
        <v>31</v>
      </c>
      <c r="E66" s="2" t="s">
        <v>26</v>
      </c>
      <c r="F66" s="3">
        <v>46163.583333333336</v>
      </c>
      <c r="G66" s="3">
        <v>46163.625</v>
      </c>
      <c r="H66" s="2">
        <v>1</v>
      </c>
      <c r="I66" s="2" t="s">
        <v>153</v>
      </c>
      <c r="J66" s="2" t="s">
        <v>154</v>
      </c>
      <c r="K66" s="2">
        <v>8</v>
      </c>
      <c r="L66" s="2">
        <v>7</v>
      </c>
      <c r="M66" s="2">
        <v>600</v>
      </c>
      <c r="N66" s="2">
        <v>580</v>
      </c>
      <c r="O66" s="2">
        <v>1400</v>
      </c>
      <c r="P66" s="2">
        <v>1800</v>
      </c>
      <c r="Q66" s="2">
        <v>1400</v>
      </c>
    </row>
    <row r="67" spans="1:17" ht="28.8" x14ac:dyDescent="0.3">
      <c r="A67" s="2" t="s">
        <v>155</v>
      </c>
      <c r="B67" s="2">
        <v>15000</v>
      </c>
      <c r="C67" s="2" t="s">
        <v>18</v>
      </c>
      <c r="D67" s="2" t="s">
        <v>19</v>
      </c>
      <c r="E67" s="2" t="s">
        <v>32</v>
      </c>
      <c r="F67" s="3">
        <v>46164.375</v>
      </c>
      <c r="G67" s="3">
        <v>46164.458333333336</v>
      </c>
      <c r="H67" s="2">
        <v>2</v>
      </c>
      <c r="I67" s="2" t="s">
        <v>156</v>
      </c>
      <c r="J67" s="2" t="s">
        <v>157</v>
      </c>
      <c r="K67" s="2">
        <v>9</v>
      </c>
      <c r="L67" s="2">
        <v>7</v>
      </c>
      <c r="M67" s="2">
        <v>700</v>
      </c>
      <c r="N67" s="2">
        <v>650</v>
      </c>
      <c r="O67" s="2">
        <v>1500</v>
      </c>
      <c r="P67" s="2">
        <v>2500</v>
      </c>
      <c r="Q67" s="2">
        <v>3000</v>
      </c>
    </row>
    <row r="68" spans="1:17" ht="28.8" x14ac:dyDescent="0.3">
      <c r="A68" s="2" t="s">
        <v>158</v>
      </c>
      <c r="B68" s="2">
        <v>5000</v>
      </c>
      <c r="C68" s="2" t="s">
        <v>24</v>
      </c>
      <c r="D68" s="2" t="s">
        <v>25</v>
      </c>
      <c r="E68" s="2" t="s">
        <v>36</v>
      </c>
      <c r="F68" s="3">
        <v>46164.541666666664</v>
      </c>
      <c r="G68" s="3">
        <v>46164.604166666664</v>
      </c>
      <c r="H68" s="2">
        <v>1.5</v>
      </c>
      <c r="I68" s="2" t="s">
        <v>159</v>
      </c>
      <c r="J68" s="2" t="s">
        <v>160</v>
      </c>
      <c r="K68" s="2">
        <v>8</v>
      </c>
      <c r="L68" s="2">
        <v>6.5</v>
      </c>
      <c r="M68" s="2">
        <v>550</v>
      </c>
      <c r="N68" s="2">
        <v>500</v>
      </c>
      <c r="O68" s="2">
        <v>1600</v>
      </c>
      <c r="P68" s="2">
        <v>2000</v>
      </c>
      <c r="Q68" s="2">
        <v>2400</v>
      </c>
    </row>
    <row r="69" spans="1:17" x14ac:dyDescent="0.3">
      <c r="A69" s="2" t="s">
        <v>161</v>
      </c>
      <c r="B69" s="2">
        <v>11000</v>
      </c>
      <c r="C69" s="2" t="s">
        <v>30</v>
      </c>
      <c r="D69" s="2" t="s">
        <v>31</v>
      </c>
      <c r="E69" s="2" t="s">
        <v>20</v>
      </c>
      <c r="F69" s="3">
        <v>46165.333333333336</v>
      </c>
      <c r="G69" s="3">
        <v>46165.416666666664</v>
      </c>
      <c r="H69" s="2">
        <v>2</v>
      </c>
      <c r="I69" s="2" t="s">
        <v>162</v>
      </c>
      <c r="J69" s="2" t="s">
        <v>163</v>
      </c>
      <c r="K69" s="2">
        <v>8</v>
      </c>
      <c r="L69" s="2">
        <v>6</v>
      </c>
      <c r="M69" s="2">
        <v>500</v>
      </c>
      <c r="N69" s="2">
        <v>460</v>
      </c>
      <c r="O69" s="2">
        <v>1500</v>
      </c>
      <c r="P69" s="2">
        <v>2500</v>
      </c>
      <c r="Q69" s="2">
        <v>3000</v>
      </c>
    </row>
    <row r="70" spans="1:17" x14ac:dyDescent="0.3">
      <c r="A70" s="2" t="s">
        <v>164</v>
      </c>
      <c r="B70" s="2">
        <v>9000</v>
      </c>
      <c r="C70" s="2" t="s">
        <v>18</v>
      </c>
      <c r="D70" s="2" t="s">
        <v>19</v>
      </c>
      <c r="E70" s="2" t="s">
        <v>26</v>
      </c>
      <c r="F70" s="3">
        <v>46165.625</v>
      </c>
      <c r="G70" s="3">
        <v>46165.666666666664</v>
      </c>
      <c r="H70" s="2">
        <v>1</v>
      </c>
      <c r="I70" s="2" t="s">
        <v>165</v>
      </c>
      <c r="J70" s="2" t="s">
        <v>166</v>
      </c>
      <c r="K70" s="2">
        <v>7</v>
      </c>
      <c r="L70" s="2">
        <v>6.5</v>
      </c>
      <c r="M70" s="2">
        <v>480</v>
      </c>
      <c r="N70" s="2">
        <v>460</v>
      </c>
      <c r="O70" s="2">
        <v>1300</v>
      </c>
      <c r="P70" s="2">
        <v>1800</v>
      </c>
      <c r="Q70" s="2">
        <v>1300</v>
      </c>
    </row>
    <row r="71" spans="1:17" ht="28.8" x14ac:dyDescent="0.3">
      <c r="A71" s="2" t="s">
        <v>167</v>
      </c>
      <c r="B71" s="2">
        <v>7000</v>
      </c>
      <c r="C71" s="2" t="s">
        <v>24</v>
      </c>
      <c r="D71" s="2" t="s">
        <v>25</v>
      </c>
      <c r="E71" s="2" t="s">
        <v>32</v>
      </c>
      <c r="F71" s="3">
        <v>46166.375</v>
      </c>
      <c r="G71" s="3">
        <v>46166.479166666664</v>
      </c>
      <c r="H71" s="2">
        <v>2.5</v>
      </c>
      <c r="I71" s="2" t="s">
        <v>168</v>
      </c>
      <c r="J71" s="2" t="s">
        <v>169</v>
      </c>
      <c r="K71" s="2">
        <v>9</v>
      </c>
      <c r="L71" s="2">
        <v>6.5</v>
      </c>
      <c r="M71" s="2">
        <v>700</v>
      </c>
      <c r="N71" s="2">
        <v>620</v>
      </c>
      <c r="O71" s="2">
        <v>1600</v>
      </c>
      <c r="P71" s="2">
        <v>3000</v>
      </c>
      <c r="Q71" s="2">
        <v>4000</v>
      </c>
    </row>
    <row r="72" spans="1:17" ht="28.8" x14ac:dyDescent="0.3">
      <c r="A72" s="2" t="s">
        <v>170</v>
      </c>
      <c r="B72" s="2">
        <v>13000</v>
      </c>
      <c r="C72" s="2" t="s">
        <v>30</v>
      </c>
      <c r="D72" s="2" t="s">
        <v>31</v>
      </c>
      <c r="E72" s="2" t="s">
        <v>36</v>
      </c>
      <c r="F72" s="3">
        <v>46166.5</v>
      </c>
      <c r="G72" s="3">
        <v>46166.5625</v>
      </c>
      <c r="H72" s="2">
        <v>1.5</v>
      </c>
      <c r="I72" s="2" t="s">
        <v>171</v>
      </c>
      <c r="J72" s="2" t="s">
        <v>172</v>
      </c>
      <c r="K72" s="2">
        <v>8</v>
      </c>
      <c r="L72" s="2">
        <v>6.5</v>
      </c>
      <c r="M72" s="2">
        <v>520</v>
      </c>
      <c r="N72" s="2">
        <v>480</v>
      </c>
      <c r="O72" s="2">
        <v>1400</v>
      </c>
      <c r="P72" s="2">
        <v>2000</v>
      </c>
      <c r="Q72" s="2">
        <v>2100</v>
      </c>
    </row>
    <row r="73" spans="1:17" x14ac:dyDescent="0.3">
      <c r="A73" s="2" t="s">
        <v>173</v>
      </c>
      <c r="B73" s="2">
        <v>6000</v>
      </c>
      <c r="C73" s="2" t="s">
        <v>18</v>
      </c>
      <c r="D73" s="2" t="s">
        <v>19</v>
      </c>
      <c r="E73" s="2" t="s">
        <v>20</v>
      </c>
      <c r="F73" s="3">
        <v>46167.354166666664</v>
      </c>
      <c r="G73" s="3">
        <v>46167.416666666664</v>
      </c>
      <c r="H73" s="2">
        <v>1.5</v>
      </c>
      <c r="I73" s="2" t="s">
        <v>174</v>
      </c>
      <c r="J73" s="2" t="s">
        <v>175</v>
      </c>
      <c r="K73" s="2">
        <v>8</v>
      </c>
      <c r="L73" s="2">
        <v>6.5</v>
      </c>
      <c r="M73" s="2">
        <v>600</v>
      </c>
      <c r="N73" s="2">
        <v>560</v>
      </c>
      <c r="O73" s="2">
        <v>1500</v>
      </c>
      <c r="P73" s="2">
        <v>2000</v>
      </c>
      <c r="Q73" s="2">
        <v>2250</v>
      </c>
    </row>
    <row r="74" spans="1:17" x14ac:dyDescent="0.3">
      <c r="A74" s="2" t="s">
        <v>176</v>
      </c>
      <c r="B74" s="2">
        <v>10000</v>
      </c>
      <c r="C74" s="2" t="s">
        <v>24</v>
      </c>
      <c r="D74" s="2" t="s">
        <v>25</v>
      </c>
      <c r="E74" s="2" t="s">
        <v>26</v>
      </c>
      <c r="F74" s="3">
        <v>46167.583333333336</v>
      </c>
      <c r="G74" s="3">
        <v>46167.625</v>
      </c>
      <c r="H74" s="2">
        <v>1</v>
      </c>
      <c r="I74" s="2" t="s">
        <v>177</v>
      </c>
      <c r="J74" s="2" t="s">
        <v>178</v>
      </c>
      <c r="K74" s="2">
        <v>8</v>
      </c>
      <c r="L74" s="2">
        <v>7</v>
      </c>
      <c r="M74" s="2">
        <v>650</v>
      </c>
      <c r="N74" s="2">
        <v>630</v>
      </c>
      <c r="O74" s="2">
        <v>1400</v>
      </c>
      <c r="P74" s="2">
        <v>1800</v>
      </c>
      <c r="Q74" s="2"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A260-88F7-470A-9056-BEEE066F5102}">
  <sheetPr>
    <tabColor theme="3" tint="0.499984740745262"/>
  </sheetPr>
  <dimension ref="A1:Q51"/>
  <sheetViews>
    <sheetView workbookViewId="0">
      <selection activeCell="B19" sqref="B19"/>
    </sheetView>
  </sheetViews>
  <sheetFormatPr defaultRowHeight="14.4" x14ac:dyDescent="0.3"/>
  <cols>
    <col min="1" max="1" width="16.33203125" customWidth="1"/>
    <col min="2" max="2" width="21.6640625" customWidth="1"/>
    <col min="3" max="3" width="7.6640625" customWidth="1"/>
    <col min="4" max="4" width="10.6640625" customWidth="1"/>
    <col min="5" max="5" width="20.6640625" customWidth="1"/>
    <col min="6" max="6" width="21" customWidth="1"/>
    <col min="7" max="8" width="26" customWidth="1"/>
    <col min="9" max="9" width="15.33203125" customWidth="1"/>
    <col min="10" max="10" width="12.33203125" customWidth="1"/>
    <col min="11" max="11" width="26" customWidth="1"/>
    <col min="12" max="12" width="24" customWidth="1"/>
    <col min="13" max="13" width="16.88671875" customWidth="1"/>
    <col min="14" max="14" width="19.6640625" customWidth="1"/>
    <col min="15" max="16" width="29.44140625" customWidth="1"/>
    <col min="17" max="17" width="24.44140625" customWidth="1"/>
  </cols>
  <sheetData>
    <row r="1" spans="1:17" ht="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3">
      <c r="A2" s="2" t="s">
        <v>17</v>
      </c>
      <c r="B2" s="2">
        <v>12000</v>
      </c>
      <c r="C2" s="2" t="s">
        <v>18</v>
      </c>
      <c r="D2" s="2" t="s">
        <v>19</v>
      </c>
      <c r="E2" s="2" t="s">
        <v>20</v>
      </c>
      <c r="F2" s="3">
        <v>46143.333333333336</v>
      </c>
      <c r="G2" s="3">
        <v>46143.416666666664</v>
      </c>
      <c r="H2" s="2">
        <v>2</v>
      </c>
      <c r="I2" s="2" t="s">
        <v>21</v>
      </c>
      <c r="J2" s="2" t="s">
        <v>22</v>
      </c>
      <c r="K2" s="2">
        <v>8</v>
      </c>
      <c r="L2" s="2">
        <v>6</v>
      </c>
      <c r="M2" s="2">
        <v>500</v>
      </c>
      <c r="N2" s="2">
        <v>420</v>
      </c>
      <c r="O2" s="2">
        <v>1500</v>
      </c>
      <c r="P2" s="2">
        <v>2500</v>
      </c>
      <c r="Q2" s="2">
        <v>3000</v>
      </c>
    </row>
    <row r="3" spans="1:17" x14ac:dyDescent="0.3">
      <c r="A3" s="2" t="s">
        <v>23</v>
      </c>
      <c r="B3" s="2">
        <v>8000</v>
      </c>
      <c r="C3" s="2" t="s">
        <v>24</v>
      </c>
      <c r="D3" s="2" t="s">
        <v>25</v>
      </c>
      <c r="E3" s="2" t="s">
        <v>26</v>
      </c>
      <c r="F3" s="3">
        <v>46143.583333333336</v>
      </c>
      <c r="G3" s="3">
        <v>46143.645833333336</v>
      </c>
      <c r="H3" s="2">
        <v>1.5</v>
      </c>
      <c r="I3" s="2" t="s">
        <v>27</v>
      </c>
      <c r="J3" s="2" t="s">
        <v>28</v>
      </c>
      <c r="K3" s="2">
        <v>8</v>
      </c>
      <c r="L3" s="2">
        <v>6.5</v>
      </c>
      <c r="M3" s="2">
        <v>600</v>
      </c>
      <c r="N3" s="2">
        <v>550</v>
      </c>
      <c r="O3" s="2">
        <v>1400</v>
      </c>
      <c r="P3" s="2">
        <v>2000</v>
      </c>
      <c r="Q3" s="2">
        <v>2100</v>
      </c>
    </row>
    <row r="4" spans="1:17" x14ac:dyDescent="0.3">
      <c r="A4" s="2" t="s">
        <v>29</v>
      </c>
      <c r="B4" s="2">
        <v>15000</v>
      </c>
      <c r="C4" s="2" t="s">
        <v>30</v>
      </c>
      <c r="D4" s="2" t="s">
        <v>31</v>
      </c>
      <c r="E4" s="2" t="s">
        <v>32</v>
      </c>
      <c r="F4" s="3">
        <v>46144.375</v>
      </c>
      <c r="G4" s="3">
        <v>46144.479166666664</v>
      </c>
      <c r="H4" s="2">
        <v>2.5</v>
      </c>
      <c r="I4" s="2" t="s">
        <v>33</v>
      </c>
      <c r="J4" s="2" t="s">
        <v>34</v>
      </c>
      <c r="K4" s="2">
        <v>9</v>
      </c>
      <c r="L4" s="2">
        <v>6.5</v>
      </c>
      <c r="M4" s="2">
        <v>700</v>
      </c>
      <c r="N4" s="2">
        <v>580</v>
      </c>
      <c r="O4" s="2">
        <v>1600</v>
      </c>
      <c r="P4" s="2">
        <v>3000</v>
      </c>
      <c r="Q4" s="2">
        <v>4000</v>
      </c>
    </row>
    <row r="5" spans="1:17" x14ac:dyDescent="0.3">
      <c r="A5" s="2" t="s">
        <v>35</v>
      </c>
      <c r="B5" s="2">
        <v>5000</v>
      </c>
      <c r="C5" s="2" t="s">
        <v>18</v>
      </c>
      <c r="D5" s="2" t="s">
        <v>19</v>
      </c>
      <c r="E5" s="2" t="s">
        <v>36</v>
      </c>
      <c r="F5" s="3">
        <v>46144.541666666664</v>
      </c>
      <c r="G5" s="3">
        <v>46144.583333333336</v>
      </c>
      <c r="H5" s="2">
        <v>1</v>
      </c>
      <c r="I5" s="2" t="s">
        <v>37</v>
      </c>
      <c r="J5" s="2" t="s">
        <v>38</v>
      </c>
      <c r="K5" s="2">
        <v>7</v>
      </c>
      <c r="L5" s="2">
        <v>6</v>
      </c>
      <c r="M5" s="2">
        <v>450</v>
      </c>
      <c r="N5" s="2">
        <v>400</v>
      </c>
      <c r="O5" s="2">
        <v>1300</v>
      </c>
      <c r="P5" s="2">
        <v>1500</v>
      </c>
      <c r="Q5" s="2">
        <v>1300</v>
      </c>
    </row>
    <row r="6" spans="1:17" x14ac:dyDescent="0.3">
      <c r="A6" s="2" t="s">
        <v>39</v>
      </c>
      <c r="B6" s="2">
        <v>11000</v>
      </c>
      <c r="C6" s="2" t="s">
        <v>24</v>
      </c>
      <c r="D6" s="2" t="s">
        <v>25</v>
      </c>
      <c r="E6" s="2" t="s">
        <v>20</v>
      </c>
      <c r="F6" s="3">
        <v>46145.354166666664</v>
      </c>
      <c r="G6" s="3">
        <v>46145.416666666664</v>
      </c>
      <c r="H6" s="2">
        <v>1.5</v>
      </c>
      <c r="I6" s="2" t="s">
        <v>40</v>
      </c>
      <c r="J6" s="2" t="s">
        <v>41</v>
      </c>
      <c r="K6" s="2">
        <v>8</v>
      </c>
      <c r="L6" s="2">
        <v>6.5</v>
      </c>
      <c r="M6" s="2">
        <v>520</v>
      </c>
      <c r="N6" s="2">
        <v>480</v>
      </c>
      <c r="O6" s="2">
        <v>1500</v>
      </c>
      <c r="P6" s="2">
        <v>2000</v>
      </c>
      <c r="Q6" s="2">
        <v>2250</v>
      </c>
    </row>
    <row r="7" spans="1:17" x14ac:dyDescent="0.3">
      <c r="A7" s="2" t="s">
        <v>42</v>
      </c>
      <c r="B7" s="2">
        <v>9000</v>
      </c>
      <c r="C7" s="2" t="s">
        <v>30</v>
      </c>
      <c r="D7" s="2" t="s">
        <v>31</v>
      </c>
      <c r="E7" s="2" t="s">
        <v>26</v>
      </c>
      <c r="F7" s="3">
        <v>46145.625</v>
      </c>
      <c r="G7" s="3">
        <v>46145.666666666664</v>
      </c>
      <c r="H7" s="2">
        <v>1</v>
      </c>
      <c r="I7" s="2" t="s">
        <v>43</v>
      </c>
      <c r="J7" s="2" t="s">
        <v>44</v>
      </c>
      <c r="K7" s="2">
        <v>8</v>
      </c>
      <c r="L7" s="2">
        <v>7</v>
      </c>
      <c r="M7" s="2">
        <v>600</v>
      </c>
      <c r="N7" s="2">
        <v>570</v>
      </c>
      <c r="O7" s="2">
        <v>1400</v>
      </c>
      <c r="P7" s="2">
        <v>1800</v>
      </c>
      <c r="Q7" s="2">
        <v>1400</v>
      </c>
    </row>
    <row r="8" spans="1:17" x14ac:dyDescent="0.3">
      <c r="A8" s="2" t="s">
        <v>45</v>
      </c>
      <c r="B8" s="2">
        <v>7000</v>
      </c>
      <c r="C8" s="2" t="s">
        <v>18</v>
      </c>
      <c r="D8" s="2" t="s">
        <v>19</v>
      </c>
      <c r="E8" s="2" t="s">
        <v>32</v>
      </c>
      <c r="F8" s="3">
        <v>46146.375</v>
      </c>
      <c r="G8" s="3">
        <v>46146.458333333336</v>
      </c>
      <c r="H8" s="2">
        <v>2</v>
      </c>
      <c r="I8" s="2" t="s">
        <v>46</v>
      </c>
      <c r="J8" s="2" t="s">
        <v>47</v>
      </c>
      <c r="K8" s="2">
        <v>9</v>
      </c>
      <c r="L8" s="2">
        <v>7</v>
      </c>
      <c r="M8" s="2">
        <v>650</v>
      </c>
      <c r="N8" s="2">
        <v>600</v>
      </c>
      <c r="O8" s="2">
        <v>1500</v>
      </c>
      <c r="P8" s="2">
        <v>2500</v>
      </c>
      <c r="Q8" s="2">
        <v>3000</v>
      </c>
    </row>
    <row r="9" spans="1:17" x14ac:dyDescent="0.3">
      <c r="A9" s="2" t="s">
        <v>48</v>
      </c>
      <c r="B9" s="2">
        <v>13000</v>
      </c>
      <c r="C9" s="2" t="s">
        <v>24</v>
      </c>
      <c r="D9" s="2" t="s">
        <v>25</v>
      </c>
      <c r="E9" s="2" t="s">
        <v>36</v>
      </c>
      <c r="F9" s="3">
        <v>46146.5</v>
      </c>
      <c r="G9" s="3">
        <v>46146.604166666664</v>
      </c>
      <c r="H9" s="2">
        <v>2.5</v>
      </c>
      <c r="I9" s="2" t="s">
        <v>49</v>
      </c>
      <c r="J9" s="2" t="s">
        <v>50</v>
      </c>
      <c r="K9" s="2">
        <v>8</v>
      </c>
      <c r="L9" s="2">
        <v>5.5</v>
      </c>
      <c r="M9" s="2">
        <v>500</v>
      </c>
      <c r="N9" s="2">
        <v>420</v>
      </c>
      <c r="O9" s="2">
        <v>1600</v>
      </c>
      <c r="P9" s="2">
        <v>2800</v>
      </c>
      <c r="Q9" s="2">
        <v>4000</v>
      </c>
    </row>
    <row r="10" spans="1:17" x14ac:dyDescent="0.3">
      <c r="A10" s="2" t="s">
        <v>51</v>
      </c>
      <c r="B10" s="2">
        <v>6000</v>
      </c>
      <c r="C10" s="2" t="s">
        <v>30</v>
      </c>
      <c r="D10" s="2" t="s">
        <v>31</v>
      </c>
      <c r="E10" s="2" t="s">
        <v>20</v>
      </c>
      <c r="F10" s="3">
        <v>46147.333333333336</v>
      </c>
      <c r="G10" s="3">
        <v>46147.395833333336</v>
      </c>
      <c r="H10" s="2">
        <v>1.5</v>
      </c>
      <c r="I10" s="2" t="s">
        <v>52</v>
      </c>
      <c r="J10" s="2" t="s">
        <v>53</v>
      </c>
      <c r="K10" s="2">
        <v>7</v>
      </c>
      <c r="L10" s="2">
        <v>6</v>
      </c>
      <c r="M10" s="2">
        <v>480</v>
      </c>
      <c r="N10" s="2">
        <v>450</v>
      </c>
      <c r="O10" s="2">
        <v>1300</v>
      </c>
      <c r="P10" s="2">
        <v>2000</v>
      </c>
      <c r="Q10" s="2">
        <v>1950</v>
      </c>
    </row>
    <row r="11" spans="1:17" x14ac:dyDescent="0.3">
      <c r="A11" s="2" t="s">
        <v>54</v>
      </c>
      <c r="B11" s="2">
        <v>10000</v>
      </c>
      <c r="C11" s="2" t="s">
        <v>18</v>
      </c>
      <c r="D11" s="2" t="s">
        <v>19</v>
      </c>
      <c r="E11" s="2" t="s">
        <v>26</v>
      </c>
      <c r="F11" s="3">
        <v>46147.583333333336</v>
      </c>
      <c r="G11" s="3">
        <v>46147.625</v>
      </c>
      <c r="H11" s="2">
        <v>1</v>
      </c>
      <c r="I11" s="2" t="s">
        <v>55</v>
      </c>
      <c r="J11" s="2" t="s">
        <v>56</v>
      </c>
      <c r="K11" s="2">
        <v>8</v>
      </c>
      <c r="L11" s="2">
        <v>7</v>
      </c>
      <c r="M11" s="2">
        <v>600</v>
      </c>
      <c r="N11" s="2">
        <v>580</v>
      </c>
      <c r="O11" s="2">
        <v>1400</v>
      </c>
      <c r="P11" s="2">
        <v>1800</v>
      </c>
      <c r="Q11" s="2">
        <v>1400</v>
      </c>
    </row>
    <row r="12" spans="1:17" x14ac:dyDescent="0.3">
      <c r="A12" s="2" t="s">
        <v>57</v>
      </c>
      <c r="B12" s="2">
        <v>12000</v>
      </c>
      <c r="C12" s="2" t="s">
        <v>24</v>
      </c>
      <c r="D12" s="2" t="s">
        <v>25</v>
      </c>
      <c r="E12" s="2" t="s">
        <v>32</v>
      </c>
      <c r="F12" s="3">
        <v>46148.375</v>
      </c>
      <c r="G12" s="3">
        <v>46148.458333333336</v>
      </c>
      <c r="H12" s="2">
        <v>2</v>
      </c>
      <c r="I12" s="2" t="s">
        <v>58</v>
      </c>
      <c r="J12" s="2" t="s">
        <v>59</v>
      </c>
      <c r="K12" s="2">
        <v>9</v>
      </c>
      <c r="L12" s="2">
        <v>7</v>
      </c>
      <c r="M12" s="2">
        <v>700</v>
      </c>
      <c r="N12" s="2">
        <v>650</v>
      </c>
      <c r="O12" s="2">
        <v>1500</v>
      </c>
      <c r="P12" s="2">
        <v>2500</v>
      </c>
      <c r="Q12" s="2">
        <v>3000</v>
      </c>
    </row>
    <row r="13" spans="1:17" x14ac:dyDescent="0.3">
      <c r="A13" s="2" t="s">
        <v>60</v>
      </c>
      <c r="B13" s="2">
        <v>8000</v>
      </c>
      <c r="C13" s="2" t="s">
        <v>30</v>
      </c>
      <c r="D13" s="2" t="s">
        <v>31</v>
      </c>
      <c r="E13" s="2" t="s">
        <v>36</v>
      </c>
      <c r="F13" s="3">
        <v>46148.541666666664</v>
      </c>
      <c r="G13" s="3">
        <v>46148.604166666664</v>
      </c>
      <c r="H13" s="2">
        <v>1.5</v>
      </c>
      <c r="I13" s="2" t="s">
        <v>61</v>
      </c>
      <c r="J13" s="2" t="s">
        <v>62</v>
      </c>
      <c r="K13" s="2">
        <v>8</v>
      </c>
      <c r="L13" s="2">
        <v>6.5</v>
      </c>
      <c r="M13" s="2">
        <v>550</v>
      </c>
      <c r="N13" s="2">
        <v>500</v>
      </c>
      <c r="O13" s="2">
        <v>1600</v>
      </c>
      <c r="P13" s="2">
        <v>2000</v>
      </c>
      <c r="Q13" s="2">
        <v>2400</v>
      </c>
    </row>
    <row r="14" spans="1:17" x14ac:dyDescent="0.3">
      <c r="A14" s="2" t="s">
        <v>63</v>
      </c>
      <c r="B14" s="2">
        <v>15000</v>
      </c>
      <c r="C14" s="2" t="s">
        <v>18</v>
      </c>
      <c r="D14" s="2" t="s">
        <v>19</v>
      </c>
      <c r="E14" s="2" t="s">
        <v>20</v>
      </c>
      <c r="F14" s="3">
        <v>46149.333333333336</v>
      </c>
      <c r="G14" s="3">
        <v>46149.416666666664</v>
      </c>
      <c r="H14" s="2">
        <v>2</v>
      </c>
      <c r="I14" s="2" t="s">
        <v>64</v>
      </c>
      <c r="J14" s="2" t="s">
        <v>65</v>
      </c>
      <c r="K14" s="2">
        <v>8</v>
      </c>
      <c r="L14" s="2">
        <v>6</v>
      </c>
      <c r="M14" s="2">
        <v>500</v>
      </c>
      <c r="N14" s="2">
        <v>460</v>
      </c>
      <c r="O14" s="2">
        <v>1500</v>
      </c>
      <c r="P14" s="2">
        <v>2500</v>
      </c>
      <c r="Q14" s="2">
        <v>3000</v>
      </c>
    </row>
    <row r="15" spans="1:17" x14ac:dyDescent="0.3">
      <c r="A15" s="2" t="s">
        <v>66</v>
      </c>
      <c r="B15" s="2">
        <v>5000</v>
      </c>
      <c r="C15" s="2" t="s">
        <v>24</v>
      </c>
      <c r="D15" s="2" t="s">
        <v>25</v>
      </c>
      <c r="E15" s="2" t="s">
        <v>26</v>
      </c>
      <c r="F15" s="3">
        <v>46149.625</v>
      </c>
      <c r="G15" s="3">
        <v>46149.666666666664</v>
      </c>
      <c r="H15" s="2">
        <v>1</v>
      </c>
      <c r="I15" s="2" t="s">
        <v>67</v>
      </c>
      <c r="J15" s="2" t="s">
        <v>68</v>
      </c>
      <c r="K15" s="2">
        <v>7</v>
      </c>
      <c r="L15" s="2">
        <v>6.5</v>
      </c>
      <c r="M15" s="2">
        <v>480</v>
      </c>
      <c r="N15" s="2">
        <v>460</v>
      </c>
      <c r="O15" s="2">
        <v>1300</v>
      </c>
      <c r="P15" s="2">
        <v>1800</v>
      </c>
      <c r="Q15" s="2">
        <v>1300</v>
      </c>
    </row>
    <row r="16" spans="1:17" x14ac:dyDescent="0.3">
      <c r="A16" s="2" t="s">
        <v>69</v>
      </c>
      <c r="B16" s="2">
        <v>11000</v>
      </c>
      <c r="C16" s="2" t="s">
        <v>30</v>
      </c>
      <c r="D16" s="2" t="s">
        <v>31</v>
      </c>
      <c r="E16" s="2" t="s">
        <v>32</v>
      </c>
      <c r="F16" s="3">
        <v>46150.375</v>
      </c>
      <c r="G16" s="3">
        <v>46150.479166666664</v>
      </c>
      <c r="H16" s="2">
        <v>2.5</v>
      </c>
      <c r="I16" s="2" t="s">
        <v>70</v>
      </c>
      <c r="J16" s="2" t="s">
        <v>71</v>
      </c>
      <c r="K16" s="2">
        <v>9</v>
      </c>
      <c r="L16" s="2">
        <v>6.5</v>
      </c>
      <c r="M16" s="2">
        <v>700</v>
      </c>
      <c r="N16" s="2">
        <v>620</v>
      </c>
      <c r="O16" s="2">
        <v>1600</v>
      </c>
      <c r="P16" s="2">
        <v>3000</v>
      </c>
      <c r="Q16" s="2">
        <v>4000</v>
      </c>
    </row>
    <row r="17" spans="1:17" x14ac:dyDescent="0.3">
      <c r="A17" s="2" t="s">
        <v>73</v>
      </c>
      <c r="B17" s="2">
        <v>9000</v>
      </c>
      <c r="C17" s="2" t="s">
        <v>18</v>
      </c>
      <c r="D17" s="2" t="s">
        <v>19</v>
      </c>
      <c r="E17" s="2" t="s">
        <v>36</v>
      </c>
      <c r="F17" s="3">
        <v>46150.5</v>
      </c>
      <c r="G17" s="3">
        <v>46150.5625</v>
      </c>
      <c r="H17" s="2">
        <v>1.5</v>
      </c>
      <c r="I17" s="2" t="s">
        <v>74</v>
      </c>
      <c r="J17" s="2" t="s">
        <v>75</v>
      </c>
      <c r="K17" s="2">
        <v>8</v>
      </c>
      <c r="L17" s="2">
        <v>6.5</v>
      </c>
      <c r="M17" s="2">
        <v>520</v>
      </c>
      <c r="N17" s="2">
        <v>480</v>
      </c>
      <c r="O17" s="2">
        <v>1400</v>
      </c>
      <c r="P17" s="2">
        <v>2000</v>
      </c>
      <c r="Q17" s="2">
        <v>2100</v>
      </c>
    </row>
    <row r="18" spans="1:17" x14ac:dyDescent="0.3">
      <c r="A18" s="2" t="s">
        <v>76</v>
      </c>
      <c r="B18" s="2">
        <v>7000</v>
      </c>
      <c r="C18" s="2" t="s">
        <v>24</v>
      </c>
      <c r="D18" s="2" t="s">
        <v>25</v>
      </c>
      <c r="E18" s="2" t="s">
        <v>20</v>
      </c>
      <c r="F18" s="3">
        <v>46151.354166666664</v>
      </c>
      <c r="G18" s="3">
        <v>46151.416666666664</v>
      </c>
      <c r="H18" s="2">
        <v>1.5</v>
      </c>
      <c r="I18" s="2" t="s">
        <v>77</v>
      </c>
      <c r="J18" s="2" t="s">
        <v>78</v>
      </c>
      <c r="K18" s="2">
        <v>8</v>
      </c>
      <c r="L18" s="2">
        <v>6.5</v>
      </c>
      <c r="M18" s="2">
        <v>600</v>
      </c>
      <c r="N18" s="2">
        <v>560</v>
      </c>
      <c r="O18" s="2">
        <v>1500</v>
      </c>
      <c r="P18" s="2">
        <v>2000</v>
      </c>
      <c r="Q18" s="2">
        <v>2250</v>
      </c>
    </row>
    <row r="19" spans="1:17" x14ac:dyDescent="0.3">
      <c r="A19" s="2" t="s">
        <v>79</v>
      </c>
      <c r="B19" s="2">
        <v>13000</v>
      </c>
      <c r="C19" s="2" t="s">
        <v>30</v>
      </c>
      <c r="D19" s="2" t="s">
        <v>31</v>
      </c>
      <c r="E19" s="2" t="s">
        <v>26</v>
      </c>
      <c r="F19" s="3">
        <v>46151.583333333336</v>
      </c>
      <c r="G19" s="3">
        <v>46151.625</v>
      </c>
      <c r="H19" s="2">
        <v>1</v>
      </c>
      <c r="I19" s="2" t="s">
        <v>80</v>
      </c>
      <c r="J19" s="2" t="s">
        <v>81</v>
      </c>
      <c r="K19" s="2">
        <v>8</v>
      </c>
      <c r="L19" s="2">
        <v>7</v>
      </c>
      <c r="M19" s="2">
        <v>650</v>
      </c>
      <c r="N19" s="2">
        <v>630</v>
      </c>
      <c r="O19" s="2">
        <v>1400</v>
      </c>
      <c r="P19" s="2">
        <v>1800</v>
      </c>
      <c r="Q19" s="2">
        <v>1400</v>
      </c>
    </row>
    <row r="20" spans="1:17" x14ac:dyDescent="0.3">
      <c r="A20" s="2" t="s">
        <v>82</v>
      </c>
      <c r="B20" s="2">
        <v>6000</v>
      </c>
      <c r="C20" s="2" t="s">
        <v>18</v>
      </c>
      <c r="D20" s="2" t="s">
        <v>19</v>
      </c>
      <c r="E20" s="2" t="s">
        <v>32</v>
      </c>
      <c r="F20" s="3">
        <v>46152.375</v>
      </c>
      <c r="G20" s="3">
        <v>46152.458333333336</v>
      </c>
      <c r="H20" s="2">
        <v>2</v>
      </c>
      <c r="I20" s="2" t="s">
        <v>83</v>
      </c>
      <c r="J20" s="2" t="s">
        <v>84</v>
      </c>
      <c r="K20" s="2">
        <v>9</v>
      </c>
      <c r="L20" s="2">
        <v>7</v>
      </c>
      <c r="M20" s="2">
        <v>700</v>
      </c>
      <c r="N20" s="2">
        <v>660</v>
      </c>
      <c r="O20" s="2">
        <v>1500</v>
      </c>
      <c r="P20" s="2">
        <v>2500</v>
      </c>
      <c r="Q20" s="2">
        <v>3000</v>
      </c>
    </row>
    <row r="21" spans="1:17" x14ac:dyDescent="0.3">
      <c r="A21" s="2" t="s">
        <v>85</v>
      </c>
      <c r="B21" s="2">
        <v>10000</v>
      </c>
      <c r="C21" s="2" t="s">
        <v>24</v>
      </c>
      <c r="D21" s="2" t="s">
        <v>25</v>
      </c>
      <c r="E21" s="2" t="s">
        <v>36</v>
      </c>
      <c r="F21" s="3">
        <v>46152.541666666664</v>
      </c>
      <c r="G21" s="3">
        <v>46152.625</v>
      </c>
      <c r="H21" s="2">
        <v>2</v>
      </c>
      <c r="I21" s="2" t="s">
        <v>86</v>
      </c>
      <c r="J21" s="2" t="s">
        <v>87</v>
      </c>
      <c r="K21" s="2">
        <v>8</v>
      </c>
      <c r="L21" s="2">
        <v>6</v>
      </c>
      <c r="M21" s="2">
        <v>500</v>
      </c>
      <c r="N21" s="2">
        <v>470</v>
      </c>
      <c r="O21" s="2">
        <v>1600</v>
      </c>
      <c r="P21" s="2">
        <v>2500</v>
      </c>
      <c r="Q21" s="2">
        <v>3200</v>
      </c>
    </row>
    <row r="22" spans="1:17" x14ac:dyDescent="0.3">
      <c r="A22" s="2" t="s">
        <v>88</v>
      </c>
      <c r="B22" s="2">
        <v>12000</v>
      </c>
      <c r="C22" s="2" t="s">
        <v>30</v>
      </c>
      <c r="D22" s="2" t="s">
        <v>31</v>
      </c>
      <c r="E22" s="2" t="s">
        <v>20</v>
      </c>
      <c r="F22" s="3">
        <v>46153.333333333336</v>
      </c>
      <c r="G22" s="3">
        <v>46153.395833333336</v>
      </c>
      <c r="H22" s="2">
        <v>1.5</v>
      </c>
      <c r="I22" s="2" t="s">
        <v>89</v>
      </c>
      <c r="J22" s="2" t="s">
        <v>90</v>
      </c>
      <c r="K22" s="2">
        <v>7</v>
      </c>
      <c r="L22" s="2">
        <v>6</v>
      </c>
      <c r="M22" s="2">
        <v>480</v>
      </c>
      <c r="N22" s="2">
        <v>450</v>
      </c>
      <c r="O22" s="2">
        <v>1300</v>
      </c>
      <c r="P22" s="2">
        <v>2000</v>
      </c>
      <c r="Q22" s="2">
        <v>1950</v>
      </c>
    </row>
    <row r="23" spans="1:17" x14ac:dyDescent="0.3">
      <c r="A23" s="2" t="s">
        <v>91</v>
      </c>
      <c r="B23" s="2">
        <v>8000</v>
      </c>
      <c r="C23" s="2" t="s">
        <v>18</v>
      </c>
      <c r="D23" s="2" t="s">
        <v>19</v>
      </c>
      <c r="E23" s="2" t="s">
        <v>26</v>
      </c>
      <c r="F23" s="3">
        <v>46153.583333333336</v>
      </c>
      <c r="G23" s="3">
        <v>46153.625</v>
      </c>
      <c r="H23" s="2">
        <v>1</v>
      </c>
      <c r="I23" s="2" t="s">
        <v>92</v>
      </c>
      <c r="J23" s="2" t="s">
        <v>93</v>
      </c>
      <c r="K23" s="2">
        <v>8</v>
      </c>
      <c r="L23" s="2">
        <v>7</v>
      </c>
      <c r="M23" s="2">
        <v>600</v>
      </c>
      <c r="N23" s="2">
        <v>580</v>
      </c>
      <c r="O23" s="2">
        <v>1400</v>
      </c>
      <c r="P23" s="2">
        <v>1800</v>
      </c>
      <c r="Q23" s="2">
        <v>1400</v>
      </c>
    </row>
    <row r="24" spans="1:17" x14ac:dyDescent="0.3">
      <c r="A24" s="2" t="s">
        <v>94</v>
      </c>
      <c r="B24" s="2">
        <v>15000</v>
      </c>
      <c r="C24" s="2" t="s">
        <v>24</v>
      </c>
      <c r="D24" s="2" t="s">
        <v>25</v>
      </c>
      <c r="E24" s="2" t="s">
        <v>32</v>
      </c>
      <c r="F24" s="3">
        <v>46154.375</v>
      </c>
      <c r="G24" s="3">
        <v>46154.458333333336</v>
      </c>
      <c r="H24" s="2">
        <v>2</v>
      </c>
      <c r="I24" s="2" t="s">
        <v>95</v>
      </c>
      <c r="J24" s="2" t="s">
        <v>96</v>
      </c>
      <c r="K24" s="2">
        <v>9</v>
      </c>
      <c r="L24" s="2">
        <v>7</v>
      </c>
      <c r="M24" s="2">
        <v>700</v>
      </c>
      <c r="N24" s="2">
        <v>650</v>
      </c>
      <c r="O24" s="2">
        <v>1500</v>
      </c>
      <c r="P24" s="2">
        <v>2500</v>
      </c>
      <c r="Q24" s="2">
        <v>3000</v>
      </c>
    </row>
    <row r="25" spans="1:17" x14ac:dyDescent="0.3">
      <c r="A25" s="2" t="s">
        <v>97</v>
      </c>
      <c r="B25" s="2">
        <v>5000</v>
      </c>
      <c r="C25" s="2" t="s">
        <v>30</v>
      </c>
      <c r="D25" s="2" t="s">
        <v>31</v>
      </c>
      <c r="E25" s="2" t="s">
        <v>36</v>
      </c>
      <c r="F25" s="3">
        <v>46154.541666666664</v>
      </c>
      <c r="G25" s="3">
        <v>46154.604166666664</v>
      </c>
      <c r="H25" s="2">
        <v>1.5</v>
      </c>
      <c r="I25" s="2" t="s">
        <v>98</v>
      </c>
      <c r="J25" s="2" t="s">
        <v>99</v>
      </c>
      <c r="K25" s="2">
        <v>8</v>
      </c>
      <c r="L25" s="2">
        <v>6.5</v>
      </c>
      <c r="M25" s="2">
        <v>550</v>
      </c>
      <c r="N25" s="2">
        <v>500</v>
      </c>
      <c r="O25" s="2">
        <v>1600</v>
      </c>
      <c r="P25" s="2">
        <v>2000</v>
      </c>
      <c r="Q25" s="2">
        <v>2400</v>
      </c>
    </row>
    <row r="26" spans="1:17" x14ac:dyDescent="0.3">
      <c r="A26" s="2" t="s">
        <v>100</v>
      </c>
      <c r="B26" s="2">
        <v>11000</v>
      </c>
      <c r="C26" s="2" t="s">
        <v>18</v>
      </c>
      <c r="D26" s="2" t="s">
        <v>19</v>
      </c>
      <c r="E26" s="2" t="s">
        <v>20</v>
      </c>
      <c r="F26" s="3">
        <v>46155.333333333336</v>
      </c>
      <c r="G26" s="3">
        <v>46155.416666666664</v>
      </c>
      <c r="H26" s="2">
        <v>2</v>
      </c>
      <c r="I26" s="2" t="s">
        <v>101</v>
      </c>
      <c r="J26" s="2" t="s">
        <v>102</v>
      </c>
      <c r="K26" s="2">
        <v>8</v>
      </c>
      <c r="L26" s="2">
        <v>6</v>
      </c>
      <c r="M26" s="2">
        <v>500</v>
      </c>
      <c r="N26" s="2">
        <v>460</v>
      </c>
      <c r="O26" s="2">
        <v>1500</v>
      </c>
      <c r="P26" s="2">
        <v>2500</v>
      </c>
      <c r="Q26" s="2">
        <v>3000</v>
      </c>
    </row>
    <row r="27" spans="1:17" x14ac:dyDescent="0.3">
      <c r="A27" s="2" t="s">
        <v>103</v>
      </c>
      <c r="B27" s="2">
        <v>9000</v>
      </c>
      <c r="C27" s="2" t="s">
        <v>24</v>
      </c>
      <c r="D27" s="2" t="s">
        <v>25</v>
      </c>
      <c r="E27" s="2" t="s">
        <v>26</v>
      </c>
      <c r="F27" s="3">
        <v>46155.625</v>
      </c>
      <c r="G27" s="3">
        <v>46155.666666666664</v>
      </c>
      <c r="H27" s="2">
        <v>1</v>
      </c>
      <c r="I27" s="2" t="s">
        <v>104</v>
      </c>
      <c r="J27" s="2" t="s">
        <v>105</v>
      </c>
      <c r="K27" s="2">
        <v>7</v>
      </c>
      <c r="L27" s="2">
        <v>6.5</v>
      </c>
      <c r="M27" s="2">
        <v>480</v>
      </c>
      <c r="N27" s="2">
        <v>460</v>
      </c>
      <c r="O27" s="2">
        <v>1300</v>
      </c>
      <c r="P27" s="2">
        <v>1800</v>
      </c>
      <c r="Q27" s="2">
        <v>1300</v>
      </c>
    </row>
    <row r="28" spans="1:17" x14ac:dyDescent="0.3">
      <c r="A28" s="2" t="s">
        <v>106</v>
      </c>
      <c r="B28" s="2">
        <v>7000</v>
      </c>
      <c r="C28" s="2" t="s">
        <v>30</v>
      </c>
      <c r="D28" s="2" t="s">
        <v>31</v>
      </c>
      <c r="E28" s="2" t="s">
        <v>32</v>
      </c>
      <c r="F28" s="3">
        <v>46156.375</v>
      </c>
      <c r="G28" s="3">
        <v>46156.479166666664</v>
      </c>
      <c r="H28" s="2">
        <v>2.5</v>
      </c>
      <c r="I28" s="2" t="s">
        <v>107</v>
      </c>
      <c r="J28" s="2" t="s">
        <v>108</v>
      </c>
      <c r="K28" s="2">
        <v>9</v>
      </c>
      <c r="L28" s="2">
        <v>6.5</v>
      </c>
      <c r="M28" s="2">
        <v>700</v>
      </c>
      <c r="N28" s="2">
        <v>620</v>
      </c>
      <c r="O28" s="2">
        <v>1600</v>
      </c>
      <c r="P28" s="2">
        <v>3000</v>
      </c>
      <c r="Q28" s="2">
        <v>4000</v>
      </c>
    </row>
    <row r="29" spans="1:17" x14ac:dyDescent="0.3">
      <c r="A29" s="2" t="s">
        <v>109</v>
      </c>
      <c r="B29" s="2">
        <v>13000</v>
      </c>
      <c r="C29" s="2" t="s">
        <v>18</v>
      </c>
      <c r="D29" s="2" t="s">
        <v>19</v>
      </c>
      <c r="E29" s="2" t="s">
        <v>36</v>
      </c>
      <c r="F29" s="3">
        <v>46156.5</v>
      </c>
      <c r="G29" s="3">
        <v>46156.5625</v>
      </c>
      <c r="H29" s="2">
        <v>1.5</v>
      </c>
      <c r="I29" s="2" t="s">
        <v>110</v>
      </c>
      <c r="J29" s="2" t="s">
        <v>111</v>
      </c>
      <c r="K29" s="2">
        <v>8</v>
      </c>
      <c r="L29" s="2">
        <v>6.5</v>
      </c>
      <c r="M29" s="2">
        <v>520</v>
      </c>
      <c r="N29" s="2">
        <v>480</v>
      </c>
      <c r="O29" s="2">
        <v>1400</v>
      </c>
      <c r="P29" s="2">
        <v>2000</v>
      </c>
      <c r="Q29" s="2">
        <v>2100</v>
      </c>
    </row>
    <row r="30" spans="1:17" x14ac:dyDescent="0.3">
      <c r="A30" s="2" t="s">
        <v>112</v>
      </c>
      <c r="B30" s="2">
        <v>6000</v>
      </c>
      <c r="C30" s="2" t="s">
        <v>24</v>
      </c>
      <c r="D30" s="2" t="s">
        <v>25</v>
      </c>
      <c r="E30" s="2" t="s">
        <v>20</v>
      </c>
      <c r="F30" s="3">
        <v>46157.354166666664</v>
      </c>
      <c r="G30" s="3">
        <v>46157.416666666664</v>
      </c>
      <c r="H30" s="2">
        <v>1.5</v>
      </c>
      <c r="I30" s="2" t="s">
        <v>113</v>
      </c>
      <c r="J30" s="2" t="s">
        <v>114</v>
      </c>
      <c r="K30" s="2">
        <v>8</v>
      </c>
      <c r="L30" s="2">
        <v>6.5</v>
      </c>
      <c r="M30" s="2">
        <v>600</v>
      </c>
      <c r="N30" s="2">
        <v>560</v>
      </c>
      <c r="O30" s="2">
        <v>1500</v>
      </c>
      <c r="P30" s="2">
        <v>2000</v>
      </c>
      <c r="Q30" s="2">
        <v>2250</v>
      </c>
    </row>
    <row r="31" spans="1:17" x14ac:dyDescent="0.3">
      <c r="A31" s="2" t="s">
        <v>115</v>
      </c>
      <c r="B31" s="2">
        <v>10000</v>
      </c>
      <c r="C31" s="2" t="s">
        <v>30</v>
      </c>
      <c r="D31" s="2" t="s">
        <v>31</v>
      </c>
      <c r="E31" s="2" t="s">
        <v>26</v>
      </c>
      <c r="F31" s="3">
        <v>46157.583333333336</v>
      </c>
      <c r="G31" s="3">
        <v>46157.625</v>
      </c>
      <c r="H31" s="2">
        <v>1</v>
      </c>
      <c r="I31" s="2" t="s">
        <v>116</v>
      </c>
      <c r="J31" s="2" t="s">
        <v>117</v>
      </c>
      <c r="K31" s="2">
        <v>8</v>
      </c>
      <c r="L31" s="2">
        <v>7</v>
      </c>
      <c r="M31" s="2">
        <v>650</v>
      </c>
      <c r="N31" s="2">
        <v>630</v>
      </c>
      <c r="O31" s="2">
        <v>1400</v>
      </c>
      <c r="P31" s="2">
        <v>1800</v>
      </c>
      <c r="Q31" s="2">
        <v>1400</v>
      </c>
    </row>
    <row r="32" spans="1:17" x14ac:dyDescent="0.3">
      <c r="A32" s="2" t="s">
        <v>118</v>
      </c>
      <c r="B32" s="2">
        <v>12000</v>
      </c>
      <c r="C32" s="2" t="s">
        <v>18</v>
      </c>
      <c r="D32" s="2" t="s">
        <v>19</v>
      </c>
      <c r="E32" s="2" t="s">
        <v>32</v>
      </c>
      <c r="F32" s="3">
        <v>46158.375</v>
      </c>
      <c r="G32" s="3">
        <v>46158.458333333336</v>
      </c>
      <c r="H32" s="2">
        <v>2</v>
      </c>
      <c r="I32" s="2" t="s">
        <v>119</v>
      </c>
      <c r="J32" s="2" t="s">
        <v>120</v>
      </c>
      <c r="K32" s="2">
        <v>9</v>
      </c>
      <c r="L32" s="2">
        <v>7</v>
      </c>
      <c r="M32" s="2">
        <v>700</v>
      </c>
      <c r="N32" s="2">
        <v>660</v>
      </c>
      <c r="O32" s="2">
        <v>1500</v>
      </c>
      <c r="P32" s="2">
        <v>2500</v>
      </c>
      <c r="Q32" s="2">
        <v>3000</v>
      </c>
    </row>
    <row r="33" spans="1:17" x14ac:dyDescent="0.3">
      <c r="A33" s="2" t="s">
        <v>121</v>
      </c>
      <c r="B33" s="2">
        <v>8000</v>
      </c>
      <c r="C33" s="2" t="s">
        <v>24</v>
      </c>
      <c r="D33" s="2" t="s">
        <v>25</v>
      </c>
      <c r="E33" s="2" t="s">
        <v>36</v>
      </c>
      <c r="F33" s="3">
        <v>46158.541666666664</v>
      </c>
      <c r="G33" s="3">
        <v>46158.604166666664</v>
      </c>
      <c r="H33" s="2">
        <v>1.5</v>
      </c>
      <c r="I33" s="2" t="s">
        <v>122</v>
      </c>
      <c r="J33" s="2" t="s">
        <v>123</v>
      </c>
      <c r="K33" s="2">
        <v>8</v>
      </c>
      <c r="L33" s="2">
        <v>6.5</v>
      </c>
      <c r="M33" s="2">
        <v>550</v>
      </c>
      <c r="N33" s="2">
        <v>500</v>
      </c>
      <c r="O33" s="2">
        <v>1600</v>
      </c>
      <c r="P33" s="2">
        <v>2000</v>
      </c>
      <c r="Q33" s="2">
        <v>2400</v>
      </c>
    </row>
    <row r="34" spans="1:17" x14ac:dyDescent="0.3">
      <c r="A34" s="2" t="s">
        <v>124</v>
      </c>
      <c r="B34" s="2">
        <v>15000</v>
      </c>
      <c r="C34" s="2" t="s">
        <v>30</v>
      </c>
      <c r="D34" s="2" t="s">
        <v>31</v>
      </c>
      <c r="E34" s="2" t="s">
        <v>20</v>
      </c>
      <c r="F34" s="3">
        <v>46159.333333333336</v>
      </c>
      <c r="G34" s="3">
        <v>46159.416666666664</v>
      </c>
      <c r="H34" s="2">
        <v>2</v>
      </c>
      <c r="I34" s="2" t="s">
        <v>125</v>
      </c>
      <c r="J34" s="2" t="s">
        <v>126</v>
      </c>
      <c r="K34" s="2">
        <v>8</v>
      </c>
      <c r="L34" s="2">
        <v>6</v>
      </c>
      <c r="M34" s="2">
        <v>500</v>
      </c>
      <c r="N34" s="2">
        <v>460</v>
      </c>
      <c r="O34" s="2">
        <v>1500</v>
      </c>
      <c r="P34" s="2">
        <v>2500</v>
      </c>
      <c r="Q34" s="2">
        <v>3000</v>
      </c>
    </row>
    <row r="35" spans="1:17" x14ac:dyDescent="0.3">
      <c r="A35" s="2" t="s">
        <v>127</v>
      </c>
      <c r="B35" s="2">
        <v>5000</v>
      </c>
      <c r="C35" s="2" t="s">
        <v>18</v>
      </c>
      <c r="D35" s="2" t="s">
        <v>19</v>
      </c>
      <c r="E35" s="2" t="s">
        <v>26</v>
      </c>
      <c r="F35" s="3">
        <v>46159.625</v>
      </c>
      <c r="G35" s="3">
        <v>46159.666666666664</v>
      </c>
      <c r="H35" s="2">
        <v>1</v>
      </c>
      <c r="I35" s="2" t="s">
        <v>128</v>
      </c>
      <c r="J35" s="2" t="s">
        <v>129</v>
      </c>
      <c r="K35" s="2">
        <v>7</v>
      </c>
      <c r="L35" s="2">
        <v>6.5</v>
      </c>
      <c r="M35" s="2">
        <v>480</v>
      </c>
      <c r="N35" s="2">
        <v>460</v>
      </c>
      <c r="O35" s="2">
        <v>1300</v>
      </c>
      <c r="P35" s="2">
        <v>1800</v>
      </c>
      <c r="Q35" s="2">
        <v>1300</v>
      </c>
    </row>
    <row r="36" spans="1:17" x14ac:dyDescent="0.3">
      <c r="A36" s="2" t="s">
        <v>130</v>
      </c>
      <c r="B36" s="2">
        <v>11000</v>
      </c>
      <c r="C36" s="2" t="s">
        <v>24</v>
      </c>
      <c r="D36" s="2" t="s">
        <v>25</v>
      </c>
      <c r="E36" s="2" t="s">
        <v>32</v>
      </c>
      <c r="F36" s="3">
        <v>46160.375</v>
      </c>
      <c r="G36" s="3">
        <v>46160.479166666664</v>
      </c>
      <c r="H36" s="2">
        <v>2.5</v>
      </c>
      <c r="I36" s="2" t="s">
        <v>131</v>
      </c>
      <c r="J36" s="2" t="s">
        <v>132</v>
      </c>
      <c r="K36" s="2">
        <v>9</v>
      </c>
      <c r="L36" s="2">
        <v>6.5</v>
      </c>
      <c r="M36" s="2">
        <v>700</v>
      </c>
      <c r="N36" s="2">
        <v>620</v>
      </c>
      <c r="O36" s="2">
        <v>1600</v>
      </c>
      <c r="P36" s="2">
        <v>3000</v>
      </c>
      <c r="Q36" s="2">
        <v>4000</v>
      </c>
    </row>
    <row r="37" spans="1:17" x14ac:dyDescent="0.3">
      <c r="A37" s="2" t="s">
        <v>133</v>
      </c>
      <c r="B37" s="2">
        <v>9000</v>
      </c>
      <c r="C37" s="2" t="s">
        <v>30</v>
      </c>
      <c r="D37" s="2" t="s">
        <v>31</v>
      </c>
      <c r="E37" s="2" t="s">
        <v>36</v>
      </c>
      <c r="F37" s="3">
        <v>46160.5</v>
      </c>
      <c r="G37" s="3">
        <v>46160.5625</v>
      </c>
      <c r="H37" s="2">
        <v>1.5</v>
      </c>
      <c r="I37" s="2" t="s">
        <v>134</v>
      </c>
      <c r="J37" s="2" t="s">
        <v>135</v>
      </c>
      <c r="K37" s="2">
        <v>8</v>
      </c>
      <c r="L37" s="2">
        <v>6.5</v>
      </c>
      <c r="M37" s="2">
        <v>520</v>
      </c>
      <c r="N37" s="2">
        <v>480</v>
      </c>
      <c r="O37" s="2">
        <v>1400</v>
      </c>
      <c r="P37" s="2">
        <v>2000</v>
      </c>
      <c r="Q37" s="2">
        <v>2100</v>
      </c>
    </row>
    <row r="38" spans="1:17" x14ac:dyDescent="0.3">
      <c r="A38" s="2" t="s">
        <v>136</v>
      </c>
      <c r="B38" s="2">
        <v>7000</v>
      </c>
      <c r="C38" s="2" t="s">
        <v>18</v>
      </c>
      <c r="D38" s="2" t="s">
        <v>19</v>
      </c>
      <c r="E38" s="2" t="s">
        <v>20</v>
      </c>
      <c r="F38" s="3">
        <v>46161.354166666664</v>
      </c>
      <c r="G38" s="3">
        <v>46161.416666666664</v>
      </c>
      <c r="H38" s="2">
        <v>1.5</v>
      </c>
      <c r="I38" s="2" t="s">
        <v>137</v>
      </c>
      <c r="J38" s="2" t="s">
        <v>138</v>
      </c>
      <c r="K38" s="2">
        <v>8</v>
      </c>
      <c r="L38" s="2">
        <v>6.5</v>
      </c>
      <c r="M38" s="2">
        <v>600</v>
      </c>
      <c r="N38" s="2">
        <v>560</v>
      </c>
      <c r="O38" s="2">
        <v>1500</v>
      </c>
      <c r="P38" s="2">
        <v>2000</v>
      </c>
      <c r="Q38" s="2">
        <v>2250</v>
      </c>
    </row>
    <row r="39" spans="1:17" x14ac:dyDescent="0.3">
      <c r="A39" s="2" t="s">
        <v>139</v>
      </c>
      <c r="B39" s="2">
        <v>13000</v>
      </c>
      <c r="C39" s="2" t="s">
        <v>24</v>
      </c>
      <c r="D39" s="2" t="s">
        <v>25</v>
      </c>
      <c r="E39" s="2" t="s">
        <v>26</v>
      </c>
      <c r="F39" s="3">
        <v>46161.583333333336</v>
      </c>
      <c r="G39" s="3">
        <v>46161.625</v>
      </c>
      <c r="H39" s="2">
        <v>1</v>
      </c>
      <c r="I39" s="2" t="s">
        <v>140</v>
      </c>
      <c r="J39" s="2" t="s">
        <v>141</v>
      </c>
      <c r="K39" s="2">
        <v>8</v>
      </c>
      <c r="L39" s="2">
        <v>7</v>
      </c>
      <c r="M39" s="2">
        <v>650</v>
      </c>
      <c r="N39" s="2">
        <v>630</v>
      </c>
      <c r="O39" s="2">
        <v>1400</v>
      </c>
      <c r="P39" s="2">
        <v>1800</v>
      </c>
      <c r="Q39" s="2">
        <v>1400</v>
      </c>
    </row>
    <row r="40" spans="1:17" x14ac:dyDescent="0.3">
      <c r="A40" s="2" t="s">
        <v>142</v>
      </c>
      <c r="B40" s="2">
        <v>6000</v>
      </c>
      <c r="C40" s="2" t="s">
        <v>30</v>
      </c>
      <c r="D40" s="2" t="s">
        <v>31</v>
      </c>
      <c r="E40" s="2" t="s">
        <v>32</v>
      </c>
      <c r="F40" s="3">
        <v>46162.375</v>
      </c>
      <c r="G40" s="3">
        <v>46162.458333333336</v>
      </c>
      <c r="H40" s="2">
        <v>2</v>
      </c>
      <c r="I40" s="2" t="s">
        <v>143</v>
      </c>
      <c r="J40" s="2" t="s">
        <v>144</v>
      </c>
      <c r="K40" s="2">
        <v>9</v>
      </c>
      <c r="L40" s="2">
        <v>7</v>
      </c>
      <c r="M40" s="2">
        <v>700</v>
      </c>
      <c r="N40" s="2">
        <v>660</v>
      </c>
      <c r="O40" s="2">
        <v>1500</v>
      </c>
      <c r="P40" s="2">
        <v>2500</v>
      </c>
      <c r="Q40" s="2">
        <v>3000</v>
      </c>
    </row>
    <row r="41" spans="1:17" x14ac:dyDescent="0.3">
      <c r="A41" s="2" t="s">
        <v>145</v>
      </c>
      <c r="B41" s="2">
        <v>10000</v>
      </c>
      <c r="C41" s="2" t="s">
        <v>18</v>
      </c>
      <c r="D41" s="2" t="s">
        <v>19</v>
      </c>
      <c r="E41" s="2" t="s">
        <v>36</v>
      </c>
      <c r="F41" s="3">
        <v>46162.541666666664</v>
      </c>
      <c r="G41" s="3">
        <v>46162.625</v>
      </c>
      <c r="H41" s="2">
        <v>2</v>
      </c>
      <c r="I41" s="2" t="s">
        <v>147</v>
      </c>
      <c r="J41" s="2" t="s">
        <v>148</v>
      </c>
      <c r="K41" s="2">
        <v>8</v>
      </c>
      <c r="L41" s="2">
        <v>6</v>
      </c>
      <c r="M41" s="2">
        <v>500</v>
      </c>
      <c r="N41" s="2">
        <v>470</v>
      </c>
      <c r="O41" s="2">
        <v>1600</v>
      </c>
      <c r="P41" s="2">
        <v>2500</v>
      </c>
      <c r="Q41" s="2">
        <v>3200</v>
      </c>
    </row>
    <row r="42" spans="1:17" x14ac:dyDescent="0.3">
      <c r="A42" s="2" t="s">
        <v>149</v>
      </c>
      <c r="B42" s="2">
        <v>12000</v>
      </c>
      <c r="C42" s="2" t="s">
        <v>24</v>
      </c>
      <c r="D42" s="2" t="s">
        <v>25</v>
      </c>
      <c r="E42" s="2" t="s">
        <v>20</v>
      </c>
      <c r="F42" s="3">
        <v>46163.333333333336</v>
      </c>
      <c r="G42" s="3">
        <v>46163.395833333336</v>
      </c>
      <c r="H42" s="2">
        <v>1.5</v>
      </c>
      <c r="I42" s="2" t="s">
        <v>150</v>
      </c>
      <c r="J42" s="2" t="s">
        <v>151</v>
      </c>
      <c r="K42" s="2">
        <v>7</v>
      </c>
      <c r="L42" s="2">
        <v>6</v>
      </c>
      <c r="M42" s="2">
        <v>480</v>
      </c>
      <c r="N42" s="2">
        <v>450</v>
      </c>
      <c r="O42" s="2">
        <v>1300</v>
      </c>
      <c r="P42" s="2">
        <v>2000</v>
      </c>
      <c r="Q42" s="2">
        <v>1950</v>
      </c>
    </row>
    <row r="43" spans="1:17" x14ac:dyDescent="0.3">
      <c r="A43" s="2" t="s">
        <v>152</v>
      </c>
      <c r="B43" s="2">
        <v>8000</v>
      </c>
      <c r="C43" s="2" t="s">
        <v>30</v>
      </c>
      <c r="D43" s="2" t="s">
        <v>31</v>
      </c>
      <c r="E43" s="2" t="s">
        <v>26</v>
      </c>
      <c r="F43" s="3">
        <v>46163.583333333336</v>
      </c>
      <c r="G43" s="3">
        <v>46163.625</v>
      </c>
      <c r="H43" s="2">
        <v>1</v>
      </c>
      <c r="I43" s="2" t="s">
        <v>153</v>
      </c>
      <c r="J43" s="2" t="s">
        <v>154</v>
      </c>
      <c r="K43" s="2">
        <v>8</v>
      </c>
      <c r="L43" s="2">
        <v>7</v>
      </c>
      <c r="M43" s="2">
        <v>600</v>
      </c>
      <c r="N43" s="2">
        <v>580</v>
      </c>
      <c r="O43" s="2">
        <v>1400</v>
      </c>
      <c r="P43" s="2">
        <v>1800</v>
      </c>
      <c r="Q43" s="2">
        <v>1400</v>
      </c>
    </row>
    <row r="44" spans="1:17" x14ac:dyDescent="0.3">
      <c r="A44" s="2" t="s">
        <v>155</v>
      </c>
      <c r="B44" s="2">
        <v>15000</v>
      </c>
      <c r="C44" s="2" t="s">
        <v>18</v>
      </c>
      <c r="D44" s="2" t="s">
        <v>19</v>
      </c>
      <c r="E44" s="2" t="s">
        <v>32</v>
      </c>
      <c r="F44" s="3">
        <v>46164.375</v>
      </c>
      <c r="G44" s="3">
        <v>46164.458333333336</v>
      </c>
      <c r="H44" s="2">
        <v>2</v>
      </c>
      <c r="I44" s="2" t="s">
        <v>156</v>
      </c>
      <c r="J44" s="2" t="s">
        <v>157</v>
      </c>
      <c r="K44" s="2">
        <v>9</v>
      </c>
      <c r="L44" s="2">
        <v>7</v>
      </c>
      <c r="M44" s="2">
        <v>700</v>
      </c>
      <c r="N44" s="2">
        <v>650</v>
      </c>
      <c r="O44" s="2">
        <v>1500</v>
      </c>
      <c r="P44" s="2">
        <v>2500</v>
      </c>
      <c r="Q44" s="2">
        <v>3000</v>
      </c>
    </row>
    <row r="45" spans="1:17" x14ac:dyDescent="0.3">
      <c r="A45" s="2" t="s">
        <v>158</v>
      </c>
      <c r="B45" s="2">
        <v>5000</v>
      </c>
      <c r="C45" s="2" t="s">
        <v>24</v>
      </c>
      <c r="D45" s="2" t="s">
        <v>25</v>
      </c>
      <c r="E45" s="2" t="s">
        <v>36</v>
      </c>
      <c r="F45" s="3">
        <v>46164.541666666664</v>
      </c>
      <c r="G45" s="3">
        <v>46164.604166666664</v>
      </c>
      <c r="H45" s="2">
        <v>1.5</v>
      </c>
      <c r="I45" s="2" t="s">
        <v>159</v>
      </c>
      <c r="J45" s="2" t="s">
        <v>160</v>
      </c>
      <c r="K45" s="2">
        <v>8</v>
      </c>
      <c r="L45" s="2">
        <v>6.5</v>
      </c>
      <c r="M45" s="2">
        <v>550</v>
      </c>
      <c r="N45" s="2">
        <v>500</v>
      </c>
      <c r="O45" s="2">
        <v>1600</v>
      </c>
      <c r="P45" s="2">
        <v>2000</v>
      </c>
      <c r="Q45" s="2">
        <v>2400</v>
      </c>
    </row>
    <row r="46" spans="1:17" x14ac:dyDescent="0.3">
      <c r="A46" s="2" t="s">
        <v>161</v>
      </c>
      <c r="B46" s="2">
        <v>11000</v>
      </c>
      <c r="C46" s="2" t="s">
        <v>30</v>
      </c>
      <c r="D46" s="2" t="s">
        <v>31</v>
      </c>
      <c r="E46" s="2" t="s">
        <v>20</v>
      </c>
      <c r="F46" s="3">
        <v>46165.333333333336</v>
      </c>
      <c r="G46" s="3">
        <v>46165.416666666664</v>
      </c>
      <c r="H46" s="2">
        <v>2</v>
      </c>
      <c r="I46" s="2" t="s">
        <v>162</v>
      </c>
      <c r="J46" s="2" t="s">
        <v>163</v>
      </c>
      <c r="K46" s="2">
        <v>8</v>
      </c>
      <c r="L46" s="2">
        <v>6</v>
      </c>
      <c r="M46" s="2">
        <v>500</v>
      </c>
      <c r="N46" s="2">
        <v>460</v>
      </c>
      <c r="O46" s="2">
        <v>1500</v>
      </c>
      <c r="P46" s="2">
        <v>2500</v>
      </c>
      <c r="Q46" s="2">
        <v>3000</v>
      </c>
    </row>
    <row r="47" spans="1:17" x14ac:dyDescent="0.3">
      <c r="A47" s="2" t="s">
        <v>164</v>
      </c>
      <c r="B47" s="2">
        <v>9000</v>
      </c>
      <c r="C47" s="2" t="s">
        <v>18</v>
      </c>
      <c r="D47" s="2" t="s">
        <v>19</v>
      </c>
      <c r="E47" s="2" t="s">
        <v>26</v>
      </c>
      <c r="F47" s="3">
        <v>46165.625</v>
      </c>
      <c r="G47" s="3">
        <v>46165.666666666664</v>
      </c>
      <c r="H47" s="2">
        <v>1</v>
      </c>
      <c r="I47" s="2" t="s">
        <v>165</v>
      </c>
      <c r="J47" s="2" t="s">
        <v>166</v>
      </c>
      <c r="K47" s="2">
        <v>7</v>
      </c>
      <c r="L47" s="2">
        <v>6.5</v>
      </c>
      <c r="M47" s="2">
        <v>480</v>
      </c>
      <c r="N47" s="2">
        <v>460</v>
      </c>
      <c r="O47" s="2">
        <v>1300</v>
      </c>
      <c r="P47" s="2">
        <v>1800</v>
      </c>
      <c r="Q47" s="2">
        <v>1300</v>
      </c>
    </row>
    <row r="48" spans="1:17" x14ac:dyDescent="0.3">
      <c r="A48" s="2" t="s">
        <v>167</v>
      </c>
      <c r="B48" s="2">
        <v>7000</v>
      </c>
      <c r="C48" s="2" t="s">
        <v>24</v>
      </c>
      <c r="D48" s="2" t="s">
        <v>25</v>
      </c>
      <c r="E48" s="2" t="s">
        <v>32</v>
      </c>
      <c r="F48" s="3">
        <v>46166.375</v>
      </c>
      <c r="G48" s="3">
        <v>46166.479166666664</v>
      </c>
      <c r="H48" s="2">
        <v>2.5</v>
      </c>
      <c r="I48" s="2" t="s">
        <v>168</v>
      </c>
      <c r="J48" s="2" t="s">
        <v>169</v>
      </c>
      <c r="K48" s="2">
        <v>9</v>
      </c>
      <c r="L48" s="2">
        <v>6.5</v>
      </c>
      <c r="M48" s="2">
        <v>700</v>
      </c>
      <c r="N48" s="2">
        <v>620</v>
      </c>
      <c r="O48" s="2">
        <v>1600</v>
      </c>
      <c r="P48" s="2">
        <v>3000</v>
      </c>
      <c r="Q48" s="2">
        <v>4000</v>
      </c>
    </row>
    <row r="49" spans="1:17" x14ac:dyDescent="0.3">
      <c r="A49" s="2" t="s">
        <v>170</v>
      </c>
      <c r="B49" s="2">
        <v>13000</v>
      </c>
      <c r="C49" s="2" t="s">
        <v>30</v>
      </c>
      <c r="D49" s="2" t="s">
        <v>31</v>
      </c>
      <c r="E49" s="2" t="s">
        <v>36</v>
      </c>
      <c r="F49" s="3">
        <v>46166.5</v>
      </c>
      <c r="G49" s="3">
        <v>46166.5625</v>
      </c>
      <c r="H49" s="2">
        <v>1.5</v>
      </c>
      <c r="I49" s="2" t="s">
        <v>171</v>
      </c>
      <c r="J49" s="2" t="s">
        <v>172</v>
      </c>
      <c r="K49" s="2">
        <v>8</v>
      </c>
      <c r="L49" s="2">
        <v>6.5</v>
      </c>
      <c r="M49" s="2">
        <v>520</v>
      </c>
      <c r="N49" s="2">
        <v>480</v>
      </c>
      <c r="O49" s="2">
        <v>1400</v>
      </c>
      <c r="P49" s="2">
        <v>2000</v>
      </c>
      <c r="Q49" s="2">
        <v>2100</v>
      </c>
    </row>
    <row r="50" spans="1:17" x14ac:dyDescent="0.3">
      <c r="A50" s="2" t="s">
        <v>173</v>
      </c>
      <c r="B50" s="2">
        <v>6000</v>
      </c>
      <c r="C50" s="2" t="s">
        <v>18</v>
      </c>
      <c r="D50" s="2" t="s">
        <v>19</v>
      </c>
      <c r="E50" s="2" t="s">
        <v>20</v>
      </c>
      <c r="F50" s="3">
        <v>46167.354166666664</v>
      </c>
      <c r="G50" s="3">
        <v>46167.416666666664</v>
      </c>
      <c r="H50" s="2">
        <v>1.5</v>
      </c>
      <c r="I50" s="2" t="s">
        <v>174</v>
      </c>
      <c r="J50" s="2" t="s">
        <v>175</v>
      </c>
      <c r="K50" s="2">
        <v>8</v>
      </c>
      <c r="L50" s="2">
        <v>6.5</v>
      </c>
      <c r="M50" s="2">
        <v>600</v>
      </c>
      <c r="N50" s="2">
        <v>560</v>
      </c>
      <c r="O50" s="2">
        <v>1500</v>
      </c>
      <c r="P50" s="2">
        <v>2000</v>
      </c>
      <c r="Q50" s="2">
        <v>2250</v>
      </c>
    </row>
    <row r="51" spans="1:17" x14ac:dyDescent="0.3">
      <c r="A51" s="2" t="s">
        <v>176</v>
      </c>
      <c r="B51" s="2">
        <v>10000</v>
      </c>
      <c r="C51" s="2" t="s">
        <v>24</v>
      </c>
      <c r="D51" s="2" t="s">
        <v>25</v>
      </c>
      <c r="E51" s="2" t="s">
        <v>26</v>
      </c>
      <c r="F51" s="3">
        <v>46167.583333333336</v>
      </c>
      <c r="G51" s="3">
        <v>46167.625</v>
      </c>
      <c r="H51" s="2">
        <v>1</v>
      </c>
      <c r="I51" s="2" t="s">
        <v>177</v>
      </c>
      <c r="J51" s="2" t="s">
        <v>178</v>
      </c>
      <c r="K51" s="2">
        <v>8</v>
      </c>
      <c r="L51" s="2">
        <v>7</v>
      </c>
      <c r="M51" s="2">
        <v>650</v>
      </c>
      <c r="N51" s="2">
        <v>630</v>
      </c>
      <c r="O51" s="2">
        <v>1400</v>
      </c>
      <c r="P51" s="2">
        <v>1800</v>
      </c>
      <c r="Q51" s="2">
        <v>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C4F9-52E5-4858-AD63-DD9926506D65}">
  <sheetPr>
    <tabColor rgb="FFFFC000"/>
  </sheetPr>
  <dimension ref="A1:H13"/>
  <sheetViews>
    <sheetView zoomScale="99" zoomScaleNormal="99" workbookViewId="0">
      <selection activeCell="A22" sqref="A22"/>
    </sheetView>
  </sheetViews>
  <sheetFormatPr defaultRowHeight="14.4" x14ac:dyDescent="0.3"/>
  <cols>
    <col min="1" max="1" width="36.5546875" bestFit="1" customWidth="1"/>
  </cols>
  <sheetData>
    <row r="1" spans="1:8" ht="18" x14ac:dyDescent="0.35">
      <c r="A1" s="11" t="s">
        <v>179</v>
      </c>
    </row>
    <row r="2" spans="1:8" ht="12.75" customHeight="1" x14ac:dyDescent="0.35">
      <c r="A2" s="11"/>
    </row>
    <row r="3" spans="1:8" x14ac:dyDescent="0.3">
      <c r="A3" s="12" t="s">
        <v>180</v>
      </c>
      <c r="G3">
        <v>1</v>
      </c>
    </row>
    <row r="4" spans="1:8" x14ac:dyDescent="0.3">
      <c r="A4" s="12" t="s">
        <v>181</v>
      </c>
    </row>
    <row r="5" spans="1:8" x14ac:dyDescent="0.3">
      <c r="A5" s="12" t="s">
        <v>182</v>
      </c>
    </row>
    <row r="6" spans="1:8" x14ac:dyDescent="0.3">
      <c r="A6" s="12" t="s">
        <v>183</v>
      </c>
    </row>
    <row r="7" spans="1:8" x14ac:dyDescent="0.3">
      <c r="A7" s="12" t="s">
        <v>184</v>
      </c>
      <c r="H7">
        <v>1</v>
      </c>
    </row>
    <row r="8" spans="1:8" x14ac:dyDescent="0.3">
      <c r="A8" s="12" t="s">
        <v>185</v>
      </c>
    </row>
    <row r="9" spans="1:8" x14ac:dyDescent="0.3">
      <c r="A9" s="12" t="s">
        <v>186</v>
      </c>
    </row>
    <row r="10" spans="1:8" x14ac:dyDescent="0.3">
      <c r="A10" s="12" t="s">
        <v>187</v>
      </c>
    </row>
    <row r="11" spans="1:8" x14ac:dyDescent="0.3">
      <c r="A11" s="12" t="s">
        <v>188</v>
      </c>
    </row>
    <row r="12" spans="1:8" x14ac:dyDescent="0.3">
      <c r="A12" s="13" t="s">
        <v>189</v>
      </c>
    </row>
    <row r="13" spans="1:8" x14ac:dyDescent="0.3">
      <c r="A13" s="12" t="s">
        <v>190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D2A5-6E8D-4C5D-9DE6-097EB655B4ED}">
  <sheetPr>
    <tabColor theme="4" tint="0.39997558519241921"/>
  </sheetPr>
  <dimension ref="A1:AG138"/>
  <sheetViews>
    <sheetView topLeftCell="A55" workbookViewId="0">
      <selection activeCell="D67" sqref="D67"/>
    </sheetView>
  </sheetViews>
  <sheetFormatPr defaultRowHeight="14.4" x14ac:dyDescent="0.3"/>
  <cols>
    <col min="1" max="1" width="23.109375" bestFit="1" customWidth="1"/>
    <col min="2" max="2" width="21.6640625" customWidth="1"/>
    <col min="3" max="4" width="27.33203125" bestFit="1" customWidth="1"/>
    <col min="5" max="5" width="11.109375" bestFit="1" customWidth="1"/>
    <col min="6" max="6" width="27.33203125" bestFit="1" customWidth="1"/>
    <col min="7" max="7" width="15.33203125" bestFit="1" customWidth="1"/>
    <col min="8" max="8" width="22.109375" bestFit="1" customWidth="1"/>
    <col min="9" max="9" width="10.6640625" customWidth="1"/>
    <col min="10" max="10" width="8.33203125" bestFit="1" customWidth="1"/>
    <col min="11" max="11" width="20.88671875" bestFit="1" customWidth="1"/>
    <col min="12" max="12" width="19.109375" bestFit="1" customWidth="1"/>
    <col min="13" max="13" width="13.5546875" bestFit="1" customWidth="1"/>
    <col min="14" max="14" width="14.88671875" bestFit="1" customWidth="1"/>
    <col min="15" max="15" width="20.6640625" bestFit="1" customWidth="1"/>
    <col min="16" max="16" width="23.6640625" bestFit="1" customWidth="1"/>
    <col min="17" max="17" width="20.6640625" bestFit="1" customWidth="1"/>
    <col min="18" max="18" width="9.5546875" customWidth="1"/>
    <col min="19" max="19" width="11.109375" customWidth="1"/>
    <col min="20" max="20" width="13.109375" customWidth="1"/>
    <col min="21" max="21" width="7.5546875" bestFit="1" customWidth="1"/>
    <col min="22" max="22" width="4.6640625" bestFit="1" customWidth="1"/>
    <col min="23" max="23" width="10" bestFit="1" customWidth="1"/>
    <col min="24" max="24" width="17.5546875" bestFit="1" customWidth="1"/>
    <col min="25" max="25" width="14" customWidth="1"/>
    <col min="26" max="26" width="21" customWidth="1"/>
    <col min="27" max="27" width="14.109375" bestFit="1" customWidth="1"/>
    <col min="28" max="28" width="17.33203125" bestFit="1" customWidth="1"/>
    <col min="29" max="34" width="16.5546875" customWidth="1"/>
    <col min="35" max="38" width="4.5546875" bestFit="1" customWidth="1"/>
    <col min="39" max="39" width="3.5546875" bestFit="1" customWidth="1"/>
    <col min="40" max="49" width="4.5546875" bestFit="1" customWidth="1"/>
    <col min="50" max="50" width="3.5546875" bestFit="1" customWidth="1"/>
    <col min="51" max="51" width="4.5546875" bestFit="1" customWidth="1"/>
    <col min="52" max="55" width="3.5546875" bestFit="1" customWidth="1"/>
    <col min="56" max="56" width="11.109375" bestFit="1" customWidth="1"/>
  </cols>
  <sheetData>
    <row r="1" spans="1:33" s="6" customFormat="1" ht="31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191</v>
      </c>
      <c r="S1" s="4" t="s">
        <v>192</v>
      </c>
      <c r="T1" s="4" t="s">
        <v>193</v>
      </c>
      <c r="U1" s="4" t="s">
        <v>194</v>
      </c>
      <c r="V1" s="4" t="s">
        <v>195</v>
      </c>
      <c r="W1" s="4" t="s">
        <v>196</v>
      </c>
      <c r="X1" s="10" t="s">
        <v>197</v>
      </c>
      <c r="Y1" s="10" t="s">
        <v>198</v>
      </c>
      <c r="Z1" s="10" t="s">
        <v>199</v>
      </c>
      <c r="AA1" s="10" t="s">
        <v>200</v>
      </c>
      <c r="AB1" s="10" t="s">
        <v>201</v>
      </c>
    </row>
    <row r="2" spans="1:33" ht="28.8" x14ac:dyDescent="0.3">
      <c r="A2" s="2" t="s">
        <v>17</v>
      </c>
      <c r="B2" s="2">
        <v>12000</v>
      </c>
      <c r="C2" s="2" t="s">
        <v>18</v>
      </c>
      <c r="D2" s="2" t="s">
        <v>19</v>
      </c>
      <c r="E2" s="2" t="s">
        <v>20</v>
      </c>
      <c r="F2" s="3">
        <v>46143.333333333336</v>
      </c>
      <c r="G2" s="3">
        <v>46143.416666666664</v>
      </c>
      <c r="H2" s="2">
        <v>2</v>
      </c>
      <c r="I2" s="2" t="s">
        <v>21</v>
      </c>
      <c r="J2" s="2" t="s">
        <v>22</v>
      </c>
      <c r="K2" s="2">
        <v>8</v>
      </c>
      <c r="L2" s="2">
        <v>6</v>
      </c>
      <c r="M2" s="2">
        <v>500</v>
      </c>
      <c r="N2" s="2">
        <v>420</v>
      </c>
      <c r="O2" s="2">
        <v>1500</v>
      </c>
      <c r="P2" s="2">
        <v>2500</v>
      </c>
      <c r="Q2" s="2">
        <v>3000</v>
      </c>
      <c r="R2" s="2">
        <f>K2-H2</f>
        <v>6</v>
      </c>
      <c r="S2" s="7">
        <f>R2/K2</f>
        <v>0.75</v>
      </c>
      <c r="T2" s="7">
        <f>(0.01*N2)/R2</f>
        <v>0.70000000000000007</v>
      </c>
      <c r="U2" s="7">
        <f>N2/M2</f>
        <v>0.84</v>
      </c>
      <c r="V2" s="7">
        <f>S2*T2*U2</f>
        <v>0.441</v>
      </c>
      <c r="W2">
        <f>M2-N2</f>
        <v>80</v>
      </c>
      <c r="X2">
        <f>H2*O2</f>
        <v>3000</v>
      </c>
      <c r="Y2">
        <f>Q2-P2</f>
        <v>500</v>
      </c>
      <c r="Z2" s="7">
        <f>N2/M2</f>
        <v>0.84</v>
      </c>
      <c r="AA2">
        <f>K2-L2</f>
        <v>2</v>
      </c>
      <c r="AB2" s="8">
        <f>H2/K2*100%</f>
        <v>0.25</v>
      </c>
    </row>
    <row r="3" spans="1:33" ht="28.8" x14ac:dyDescent="0.3">
      <c r="A3" s="2" t="s">
        <v>23</v>
      </c>
      <c r="B3" s="2">
        <v>8000</v>
      </c>
      <c r="C3" s="2" t="s">
        <v>24</v>
      </c>
      <c r="D3" s="2" t="s">
        <v>25</v>
      </c>
      <c r="E3" s="2" t="s">
        <v>26</v>
      </c>
      <c r="F3" s="3">
        <v>46143.583333333336</v>
      </c>
      <c r="G3" s="3">
        <v>46143.645833333336</v>
      </c>
      <c r="H3" s="2">
        <v>1.5</v>
      </c>
      <c r="I3" s="2" t="s">
        <v>27</v>
      </c>
      <c r="J3" s="2" t="s">
        <v>28</v>
      </c>
      <c r="K3" s="2">
        <v>8</v>
      </c>
      <c r="L3" s="2">
        <v>6.5</v>
      </c>
      <c r="M3" s="2">
        <v>600</v>
      </c>
      <c r="N3" s="2">
        <v>550</v>
      </c>
      <c r="O3" s="2">
        <v>1400</v>
      </c>
      <c r="P3" s="2">
        <v>2000</v>
      </c>
      <c r="Q3" s="2">
        <v>2100</v>
      </c>
      <c r="R3" s="2">
        <f t="shared" ref="R3:R51" si="0">K3-H3</f>
        <v>6.5</v>
      </c>
      <c r="S3" s="7">
        <f t="shared" ref="S3:S51" si="1">R3/K3</f>
        <v>0.8125</v>
      </c>
      <c r="T3" s="7">
        <f t="shared" ref="T3:T51" si="2">(0.01*N3)/R3</f>
        <v>0.84615384615384615</v>
      </c>
      <c r="U3" s="7">
        <f t="shared" ref="U3:U51" si="3">N3/M3</f>
        <v>0.91666666666666663</v>
      </c>
      <c r="V3" s="7">
        <f t="shared" ref="V3:V51" si="4">S3*T3*U3</f>
        <v>0.63020833333333326</v>
      </c>
      <c r="W3">
        <f t="shared" ref="W3:W51" si="5">M3-N3</f>
        <v>50</v>
      </c>
      <c r="X3">
        <f t="shared" ref="X3:X51" si="6">H3*O3</f>
        <v>2100</v>
      </c>
      <c r="Y3">
        <f t="shared" ref="Y3:Y51" si="7">Q3-P3</f>
        <v>100</v>
      </c>
      <c r="Z3" s="7">
        <f t="shared" ref="Z3:Z51" si="8">N3/M3</f>
        <v>0.91666666666666663</v>
      </c>
      <c r="AA3">
        <f t="shared" ref="AA3:AA51" si="9">K3-L3</f>
        <v>1.5</v>
      </c>
      <c r="AB3" s="8">
        <f t="shared" ref="AB3:AB51" si="10">H3/K3*100%</f>
        <v>0.1875</v>
      </c>
      <c r="AD3" s="18" t="s">
        <v>202</v>
      </c>
      <c r="AE3" s="19"/>
      <c r="AF3" s="19"/>
      <c r="AG3" s="20"/>
    </row>
    <row r="4" spans="1:33" ht="28.8" x14ac:dyDescent="0.3">
      <c r="A4" s="2" t="s">
        <v>29</v>
      </c>
      <c r="B4" s="2">
        <v>15000</v>
      </c>
      <c r="C4" s="2" t="s">
        <v>30</v>
      </c>
      <c r="D4" s="2" t="s">
        <v>31</v>
      </c>
      <c r="E4" s="2" t="s">
        <v>32</v>
      </c>
      <c r="F4" s="3">
        <v>46144.375</v>
      </c>
      <c r="G4" s="3">
        <v>46144.479166666664</v>
      </c>
      <c r="H4" s="2">
        <v>2.5</v>
      </c>
      <c r="I4" s="2" t="s">
        <v>33</v>
      </c>
      <c r="J4" s="2" t="s">
        <v>34</v>
      </c>
      <c r="K4" s="2">
        <v>9</v>
      </c>
      <c r="L4" s="2">
        <v>6.5</v>
      </c>
      <c r="M4" s="2">
        <v>700</v>
      </c>
      <c r="N4" s="2">
        <v>580</v>
      </c>
      <c r="O4" s="2">
        <v>1600</v>
      </c>
      <c r="P4" s="2">
        <v>3000</v>
      </c>
      <c r="Q4" s="2">
        <v>4000</v>
      </c>
      <c r="R4" s="2">
        <f t="shared" si="0"/>
        <v>6.5</v>
      </c>
      <c r="S4" s="7">
        <f t="shared" si="1"/>
        <v>0.72222222222222221</v>
      </c>
      <c r="T4" s="7">
        <f t="shared" si="2"/>
        <v>0.89230769230769225</v>
      </c>
      <c r="U4" s="7">
        <f t="shared" si="3"/>
        <v>0.82857142857142863</v>
      </c>
      <c r="V4" s="7">
        <f t="shared" si="4"/>
        <v>0.53396825396825398</v>
      </c>
      <c r="W4">
        <f t="shared" si="5"/>
        <v>120</v>
      </c>
      <c r="X4">
        <f t="shared" si="6"/>
        <v>4000</v>
      </c>
      <c r="Y4">
        <f t="shared" si="7"/>
        <v>1000</v>
      </c>
      <c r="Z4" s="7">
        <f t="shared" si="8"/>
        <v>0.82857142857142863</v>
      </c>
      <c r="AA4">
        <f t="shared" si="9"/>
        <v>2.5</v>
      </c>
      <c r="AB4" s="8">
        <f t="shared" si="10"/>
        <v>0.27777777777777779</v>
      </c>
    </row>
    <row r="5" spans="1:33" ht="28.8" x14ac:dyDescent="0.3">
      <c r="A5" s="2" t="s">
        <v>35</v>
      </c>
      <c r="B5" s="2">
        <v>5000</v>
      </c>
      <c r="C5" s="2" t="s">
        <v>18</v>
      </c>
      <c r="D5" s="2" t="s">
        <v>19</v>
      </c>
      <c r="E5" s="2" t="s">
        <v>36</v>
      </c>
      <c r="F5" s="3">
        <v>46144.541666666664</v>
      </c>
      <c r="G5" s="3">
        <v>46144.583333333336</v>
      </c>
      <c r="H5" s="2">
        <v>1</v>
      </c>
      <c r="I5" s="2" t="s">
        <v>37</v>
      </c>
      <c r="J5" s="2" t="s">
        <v>38</v>
      </c>
      <c r="K5" s="2">
        <v>7</v>
      </c>
      <c r="L5" s="2">
        <v>6</v>
      </c>
      <c r="M5" s="2">
        <v>450</v>
      </c>
      <c r="N5" s="2">
        <v>400</v>
      </c>
      <c r="O5" s="2">
        <v>1300</v>
      </c>
      <c r="P5" s="2">
        <v>1500</v>
      </c>
      <c r="Q5" s="2">
        <v>1300</v>
      </c>
      <c r="R5" s="2">
        <f t="shared" si="0"/>
        <v>6</v>
      </c>
      <c r="S5" s="7">
        <f t="shared" si="1"/>
        <v>0.8571428571428571</v>
      </c>
      <c r="T5" s="7">
        <f t="shared" si="2"/>
        <v>0.66666666666666663</v>
      </c>
      <c r="U5" s="7">
        <f t="shared" si="3"/>
        <v>0.88888888888888884</v>
      </c>
      <c r="V5" s="7">
        <f t="shared" si="4"/>
        <v>0.50793650793650791</v>
      </c>
      <c r="W5">
        <f t="shared" si="5"/>
        <v>50</v>
      </c>
      <c r="X5">
        <f t="shared" si="6"/>
        <v>1300</v>
      </c>
      <c r="Y5">
        <f t="shared" si="7"/>
        <v>-200</v>
      </c>
      <c r="Z5" s="7">
        <f t="shared" si="8"/>
        <v>0.88888888888888884</v>
      </c>
      <c r="AA5">
        <f t="shared" si="9"/>
        <v>1</v>
      </c>
      <c r="AB5" s="8">
        <f t="shared" si="10"/>
        <v>0.14285714285714285</v>
      </c>
    </row>
    <row r="6" spans="1:33" ht="28.8" x14ac:dyDescent="0.3">
      <c r="A6" s="2" t="s">
        <v>39</v>
      </c>
      <c r="B6" s="2">
        <v>11000</v>
      </c>
      <c r="C6" s="2" t="s">
        <v>24</v>
      </c>
      <c r="D6" s="2" t="s">
        <v>25</v>
      </c>
      <c r="E6" s="2" t="s">
        <v>20</v>
      </c>
      <c r="F6" s="3">
        <v>46145.354166666664</v>
      </c>
      <c r="G6" s="3">
        <v>46145.416666666664</v>
      </c>
      <c r="H6" s="2">
        <v>1.5</v>
      </c>
      <c r="I6" s="2" t="s">
        <v>40</v>
      </c>
      <c r="J6" s="2" t="s">
        <v>41</v>
      </c>
      <c r="K6" s="2">
        <v>8</v>
      </c>
      <c r="L6" s="2">
        <v>6.5</v>
      </c>
      <c r="M6" s="2">
        <v>520</v>
      </c>
      <c r="N6" s="2">
        <v>480</v>
      </c>
      <c r="O6" s="2">
        <v>1500</v>
      </c>
      <c r="P6" s="2">
        <v>2000</v>
      </c>
      <c r="Q6" s="2">
        <v>2250</v>
      </c>
      <c r="R6" s="2">
        <f t="shared" si="0"/>
        <v>6.5</v>
      </c>
      <c r="S6" s="7">
        <f t="shared" si="1"/>
        <v>0.8125</v>
      </c>
      <c r="T6" s="7">
        <f t="shared" si="2"/>
        <v>0.73846153846153839</v>
      </c>
      <c r="U6" s="7">
        <f t="shared" si="3"/>
        <v>0.92307692307692313</v>
      </c>
      <c r="V6" s="7">
        <f t="shared" si="4"/>
        <v>0.55384615384615388</v>
      </c>
      <c r="W6">
        <f t="shared" si="5"/>
        <v>40</v>
      </c>
      <c r="X6">
        <f t="shared" si="6"/>
        <v>2250</v>
      </c>
      <c r="Y6">
        <f t="shared" si="7"/>
        <v>250</v>
      </c>
      <c r="Z6" s="7">
        <f t="shared" si="8"/>
        <v>0.92307692307692313</v>
      </c>
      <c r="AA6">
        <f t="shared" si="9"/>
        <v>1.5</v>
      </c>
      <c r="AB6" s="8">
        <f t="shared" si="10"/>
        <v>0.1875</v>
      </c>
    </row>
    <row r="7" spans="1:33" ht="28.8" x14ac:dyDescent="0.3">
      <c r="A7" s="2" t="s">
        <v>42</v>
      </c>
      <c r="B7" s="2">
        <v>9000</v>
      </c>
      <c r="C7" s="2" t="s">
        <v>30</v>
      </c>
      <c r="D7" s="2" t="s">
        <v>31</v>
      </c>
      <c r="E7" s="2" t="s">
        <v>26</v>
      </c>
      <c r="F7" s="3">
        <v>46145.625</v>
      </c>
      <c r="G7" s="3">
        <v>46145.666666666664</v>
      </c>
      <c r="H7" s="2">
        <v>1</v>
      </c>
      <c r="I7" s="2" t="s">
        <v>43</v>
      </c>
      <c r="J7" s="2" t="s">
        <v>44</v>
      </c>
      <c r="K7" s="2">
        <v>8</v>
      </c>
      <c r="L7" s="2">
        <v>7</v>
      </c>
      <c r="M7" s="2">
        <v>600</v>
      </c>
      <c r="N7" s="2">
        <v>570</v>
      </c>
      <c r="O7" s="2">
        <v>1400</v>
      </c>
      <c r="P7" s="2">
        <v>1800</v>
      </c>
      <c r="Q7" s="2">
        <v>1400</v>
      </c>
      <c r="R7" s="2">
        <f t="shared" si="0"/>
        <v>7</v>
      </c>
      <c r="S7" s="7">
        <f t="shared" si="1"/>
        <v>0.875</v>
      </c>
      <c r="T7" s="7">
        <f t="shared" si="2"/>
        <v>0.81428571428571428</v>
      </c>
      <c r="U7" s="7">
        <f t="shared" si="3"/>
        <v>0.95</v>
      </c>
      <c r="V7" s="7">
        <f t="shared" si="4"/>
        <v>0.676875</v>
      </c>
      <c r="W7">
        <f t="shared" si="5"/>
        <v>30</v>
      </c>
      <c r="X7">
        <f t="shared" si="6"/>
        <v>1400</v>
      </c>
      <c r="Y7">
        <f t="shared" si="7"/>
        <v>-400</v>
      </c>
      <c r="Z7" s="7">
        <f t="shared" si="8"/>
        <v>0.95</v>
      </c>
      <c r="AA7">
        <f t="shared" si="9"/>
        <v>1</v>
      </c>
      <c r="AB7" s="8">
        <f t="shared" si="10"/>
        <v>0.125</v>
      </c>
    </row>
    <row r="8" spans="1:33" ht="28.8" x14ac:dyDescent="0.3">
      <c r="A8" s="2" t="s">
        <v>45</v>
      </c>
      <c r="B8" s="2">
        <v>7000</v>
      </c>
      <c r="C8" s="2" t="s">
        <v>18</v>
      </c>
      <c r="D8" s="2" t="s">
        <v>19</v>
      </c>
      <c r="E8" s="2" t="s">
        <v>32</v>
      </c>
      <c r="F8" s="3">
        <v>46146.375</v>
      </c>
      <c r="G8" s="3">
        <v>46146.458333333336</v>
      </c>
      <c r="H8" s="2">
        <v>2</v>
      </c>
      <c r="I8" s="2" t="s">
        <v>46</v>
      </c>
      <c r="J8" s="2" t="s">
        <v>47</v>
      </c>
      <c r="K8" s="2">
        <v>9</v>
      </c>
      <c r="L8" s="2">
        <v>7</v>
      </c>
      <c r="M8" s="2">
        <v>650</v>
      </c>
      <c r="N8" s="2">
        <v>600</v>
      </c>
      <c r="O8" s="2">
        <v>1500</v>
      </c>
      <c r="P8" s="2">
        <v>2500</v>
      </c>
      <c r="Q8" s="2">
        <v>3000</v>
      </c>
      <c r="R8" s="2">
        <f t="shared" si="0"/>
        <v>7</v>
      </c>
      <c r="S8" s="7">
        <f t="shared" si="1"/>
        <v>0.77777777777777779</v>
      </c>
      <c r="T8" s="7">
        <f t="shared" si="2"/>
        <v>0.8571428571428571</v>
      </c>
      <c r="U8" s="7">
        <f t="shared" si="3"/>
        <v>0.92307692307692313</v>
      </c>
      <c r="V8" s="7">
        <f t="shared" si="4"/>
        <v>0.61538461538461542</v>
      </c>
      <c r="W8">
        <f t="shared" si="5"/>
        <v>50</v>
      </c>
      <c r="X8">
        <f t="shared" si="6"/>
        <v>3000</v>
      </c>
      <c r="Y8">
        <f t="shared" si="7"/>
        <v>500</v>
      </c>
      <c r="Z8" s="7">
        <f t="shared" si="8"/>
        <v>0.92307692307692313</v>
      </c>
      <c r="AA8">
        <f t="shared" si="9"/>
        <v>2</v>
      </c>
      <c r="AB8" s="8">
        <f t="shared" si="10"/>
        <v>0.22222222222222221</v>
      </c>
    </row>
    <row r="9" spans="1:33" ht="28.8" x14ac:dyDescent="0.3">
      <c r="A9" s="2" t="s">
        <v>48</v>
      </c>
      <c r="B9" s="2">
        <v>13000</v>
      </c>
      <c r="C9" s="2" t="s">
        <v>24</v>
      </c>
      <c r="D9" s="2" t="s">
        <v>25</v>
      </c>
      <c r="E9" s="2" t="s">
        <v>36</v>
      </c>
      <c r="F9" s="3">
        <v>46146.5</v>
      </c>
      <c r="G9" s="3">
        <v>46146.604166666664</v>
      </c>
      <c r="H9" s="2">
        <v>2.5</v>
      </c>
      <c r="I9" s="2" t="s">
        <v>49</v>
      </c>
      <c r="J9" s="2" t="s">
        <v>50</v>
      </c>
      <c r="K9" s="2">
        <v>8</v>
      </c>
      <c r="L9" s="2">
        <v>5.5</v>
      </c>
      <c r="M9" s="2">
        <v>500</v>
      </c>
      <c r="N9" s="2">
        <v>420</v>
      </c>
      <c r="O9" s="2">
        <v>1600</v>
      </c>
      <c r="P9" s="2">
        <v>2800</v>
      </c>
      <c r="Q9" s="2">
        <v>4000</v>
      </c>
      <c r="R9" s="2">
        <f t="shared" si="0"/>
        <v>5.5</v>
      </c>
      <c r="S9" s="7">
        <f t="shared" si="1"/>
        <v>0.6875</v>
      </c>
      <c r="T9" s="7">
        <f t="shared" si="2"/>
        <v>0.76363636363636367</v>
      </c>
      <c r="U9" s="7">
        <f t="shared" si="3"/>
        <v>0.84</v>
      </c>
      <c r="V9" s="7">
        <f t="shared" si="4"/>
        <v>0.441</v>
      </c>
      <c r="W9">
        <f t="shared" si="5"/>
        <v>80</v>
      </c>
      <c r="X9">
        <f t="shared" si="6"/>
        <v>4000</v>
      </c>
      <c r="Y9">
        <f t="shared" si="7"/>
        <v>1200</v>
      </c>
      <c r="Z9" s="7">
        <f t="shared" si="8"/>
        <v>0.84</v>
      </c>
      <c r="AA9">
        <f t="shared" si="9"/>
        <v>2.5</v>
      </c>
      <c r="AB9" s="8">
        <f t="shared" si="10"/>
        <v>0.3125</v>
      </c>
    </row>
    <row r="10" spans="1:33" ht="28.8" x14ac:dyDescent="0.3">
      <c r="A10" s="2" t="s">
        <v>51</v>
      </c>
      <c r="B10" s="2">
        <v>6000</v>
      </c>
      <c r="C10" s="2" t="s">
        <v>30</v>
      </c>
      <c r="D10" s="2" t="s">
        <v>31</v>
      </c>
      <c r="E10" s="2" t="s">
        <v>20</v>
      </c>
      <c r="F10" s="3">
        <v>46147.333333333336</v>
      </c>
      <c r="G10" s="3">
        <v>46147.395833333336</v>
      </c>
      <c r="H10" s="2">
        <v>1.5</v>
      </c>
      <c r="I10" s="2" t="s">
        <v>52</v>
      </c>
      <c r="J10" s="2" t="s">
        <v>53</v>
      </c>
      <c r="K10" s="2">
        <v>7</v>
      </c>
      <c r="L10" s="2">
        <v>6</v>
      </c>
      <c r="M10" s="2">
        <v>480</v>
      </c>
      <c r="N10" s="2">
        <v>450</v>
      </c>
      <c r="O10" s="2">
        <v>1300</v>
      </c>
      <c r="P10" s="2">
        <v>2000</v>
      </c>
      <c r="Q10" s="2">
        <v>1950</v>
      </c>
      <c r="R10" s="2">
        <f t="shared" si="0"/>
        <v>5.5</v>
      </c>
      <c r="S10" s="7">
        <f t="shared" si="1"/>
        <v>0.7857142857142857</v>
      </c>
      <c r="T10" s="7">
        <f t="shared" si="2"/>
        <v>0.81818181818181823</v>
      </c>
      <c r="U10" s="7">
        <f t="shared" si="3"/>
        <v>0.9375</v>
      </c>
      <c r="V10" s="7">
        <f t="shared" si="4"/>
        <v>0.60267857142857151</v>
      </c>
      <c r="W10">
        <f t="shared" si="5"/>
        <v>30</v>
      </c>
      <c r="X10">
        <f t="shared" si="6"/>
        <v>1950</v>
      </c>
      <c r="Y10">
        <f t="shared" si="7"/>
        <v>-50</v>
      </c>
      <c r="Z10" s="7">
        <f t="shared" si="8"/>
        <v>0.9375</v>
      </c>
      <c r="AA10">
        <f t="shared" si="9"/>
        <v>1</v>
      </c>
      <c r="AB10" s="8">
        <f t="shared" si="10"/>
        <v>0.21428571428571427</v>
      </c>
    </row>
    <row r="11" spans="1:33" ht="28.8" x14ac:dyDescent="0.3">
      <c r="A11" s="2" t="s">
        <v>54</v>
      </c>
      <c r="B11" s="2">
        <v>10000</v>
      </c>
      <c r="C11" s="2" t="s">
        <v>18</v>
      </c>
      <c r="D11" s="2" t="s">
        <v>19</v>
      </c>
      <c r="E11" s="2" t="s">
        <v>26</v>
      </c>
      <c r="F11" s="3">
        <v>46147.583333333336</v>
      </c>
      <c r="G11" s="3">
        <v>46147.625</v>
      </c>
      <c r="H11" s="2">
        <v>1</v>
      </c>
      <c r="I11" s="2" t="s">
        <v>55</v>
      </c>
      <c r="J11" s="2" t="s">
        <v>56</v>
      </c>
      <c r="K11" s="2">
        <v>8</v>
      </c>
      <c r="L11" s="2">
        <v>7</v>
      </c>
      <c r="M11" s="2">
        <v>600</v>
      </c>
      <c r="N11" s="2">
        <v>580</v>
      </c>
      <c r="O11" s="2">
        <v>1400</v>
      </c>
      <c r="P11" s="2">
        <v>1800</v>
      </c>
      <c r="Q11" s="2">
        <v>1400</v>
      </c>
      <c r="R11" s="2">
        <f t="shared" si="0"/>
        <v>7</v>
      </c>
      <c r="S11" s="7">
        <f t="shared" si="1"/>
        <v>0.875</v>
      </c>
      <c r="T11" s="7">
        <f t="shared" si="2"/>
        <v>0.82857142857142851</v>
      </c>
      <c r="U11" s="7">
        <f t="shared" si="3"/>
        <v>0.96666666666666667</v>
      </c>
      <c r="V11" s="7">
        <f t="shared" si="4"/>
        <v>0.70083333333333331</v>
      </c>
      <c r="W11">
        <f t="shared" si="5"/>
        <v>20</v>
      </c>
      <c r="X11">
        <f t="shared" si="6"/>
        <v>1400</v>
      </c>
      <c r="Y11">
        <f t="shared" si="7"/>
        <v>-400</v>
      </c>
      <c r="Z11" s="7">
        <f t="shared" si="8"/>
        <v>0.96666666666666667</v>
      </c>
      <c r="AA11">
        <f t="shared" si="9"/>
        <v>1</v>
      </c>
      <c r="AB11" s="8">
        <f t="shared" si="10"/>
        <v>0.125</v>
      </c>
    </row>
    <row r="12" spans="1:33" ht="28.8" x14ac:dyDescent="0.3">
      <c r="A12" s="2" t="s">
        <v>57</v>
      </c>
      <c r="B12" s="2">
        <v>12000</v>
      </c>
      <c r="C12" s="2" t="s">
        <v>24</v>
      </c>
      <c r="D12" s="2" t="s">
        <v>25</v>
      </c>
      <c r="E12" s="2" t="s">
        <v>32</v>
      </c>
      <c r="F12" s="3">
        <v>46148.375</v>
      </c>
      <c r="G12" s="3">
        <v>46148.458333333336</v>
      </c>
      <c r="H12" s="2">
        <v>2</v>
      </c>
      <c r="I12" s="2" t="s">
        <v>58</v>
      </c>
      <c r="J12" s="2" t="s">
        <v>59</v>
      </c>
      <c r="K12" s="2">
        <v>9</v>
      </c>
      <c r="L12" s="2">
        <v>7</v>
      </c>
      <c r="M12" s="2">
        <v>700</v>
      </c>
      <c r="N12" s="2">
        <v>650</v>
      </c>
      <c r="O12" s="2">
        <v>1500</v>
      </c>
      <c r="P12" s="2">
        <v>2500</v>
      </c>
      <c r="Q12" s="2">
        <v>3000</v>
      </c>
      <c r="R12" s="2">
        <f t="shared" si="0"/>
        <v>7</v>
      </c>
      <c r="S12" s="7">
        <f t="shared" si="1"/>
        <v>0.77777777777777779</v>
      </c>
      <c r="T12" s="7">
        <f t="shared" si="2"/>
        <v>0.9285714285714286</v>
      </c>
      <c r="U12" s="7">
        <f t="shared" si="3"/>
        <v>0.9285714285714286</v>
      </c>
      <c r="V12" s="7">
        <f t="shared" si="4"/>
        <v>0.67063492063492069</v>
      </c>
      <c r="W12">
        <f t="shared" si="5"/>
        <v>50</v>
      </c>
      <c r="X12">
        <f t="shared" si="6"/>
        <v>3000</v>
      </c>
      <c r="Y12">
        <f t="shared" si="7"/>
        <v>500</v>
      </c>
      <c r="Z12" s="7">
        <f t="shared" si="8"/>
        <v>0.9285714285714286</v>
      </c>
      <c r="AA12">
        <f t="shared" si="9"/>
        <v>2</v>
      </c>
      <c r="AB12" s="8">
        <f t="shared" si="10"/>
        <v>0.22222222222222221</v>
      </c>
    </row>
    <row r="13" spans="1:33" ht="28.8" x14ac:dyDescent="0.3">
      <c r="A13" s="2" t="s">
        <v>60</v>
      </c>
      <c r="B13" s="2">
        <v>8000</v>
      </c>
      <c r="C13" s="2" t="s">
        <v>30</v>
      </c>
      <c r="D13" s="2" t="s">
        <v>31</v>
      </c>
      <c r="E13" s="2" t="s">
        <v>36</v>
      </c>
      <c r="F13" s="3">
        <v>46148.541666666664</v>
      </c>
      <c r="G13" s="3">
        <v>46148.604166666664</v>
      </c>
      <c r="H13" s="2">
        <v>1.5</v>
      </c>
      <c r="I13" s="2" t="s">
        <v>61</v>
      </c>
      <c r="J13" s="2" t="s">
        <v>62</v>
      </c>
      <c r="K13" s="2">
        <v>8</v>
      </c>
      <c r="L13" s="2">
        <v>6.5</v>
      </c>
      <c r="M13" s="2">
        <v>550</v>
      </c>
      <c r="N13" s="2">
        <v>500</v>
      </c>
      <c r="O13" s="2">
        <v>1600</v>
      </c>
      <c r="P13" s="2">
        <v>2000</v>
      </c>
      <c r="Q13" s="2">
        <v>2400</v>
      </c>
      <c r="R13" s="2">
        <f t="shared" si="0"/>
        <v>6.5</v>
      </c>
      <c r="S13" s="7">
        <f t="shared" si="1"/>
        <v>0.8125</v>
      </c>
      <c r="T13" s="7">
        <f t="shared" si="2"/>
        <v>0.76923076923076927</v>
      </c>
      <c r="U13" s="7">
        <f t="shared" si="3"/>
        <v>0.90909090909090906</v>
      </c>
      <c r="V13" s="7">
        <f t="shared" si="4"/>
        <v>0.56818181818181812</v>
      </c>
      <c r="W13">
        <f t="shared" si="5"/>
        <v>50</v>
      </c>
      <c r="X13">
        <f t="shared" si="6"/>
        <v>2400</v>
      </c>
      <c r="Y13">
        <f t="shared" si="7"/>
        <v>400</v>
      </c>
      <c r="Z13" s="7">
        <f t="shared" si="8"/>
        <v>0.90909090909090906</v>
      </c>
      <c r="AA13">
        <f t="shared" si="9"/>
        <v>1.5</v>
      </c>
      <c r="AB13" s="8">
        <f t="shared" si="10"/>
        <v>0.1875</v>
      </c>
    </row>
    <row r="14" spans="1:33" ht="28.8" x14ac:dyDescent="0.3">
      <c r="A14" s="2" t="s">
        <v>63</v>
      </c>
      <c r="B14" s="2">
        <v>15000</v>
      </c>
      <c r="C14" s="2" t="s">
        <v>18</v>
      </c>
      <c r="D14" s="2" t="s">
        <v>19</v>
      </c>
      <c r="E14" s="2" t="s">
        <v>20</v>
      </c>
      <c r="F14" s="3">
        <v>46149.333333333336</v>
      </c>
      <c r="G14" s="3">
        <v>46149.416666666664</v>
      </c>
      <c r="H14" s="2">
        <v>2</v>
      </c>
      <c r="I14" s="2" t="s">
        <v>64</v>
      </c>
      <c r="J14" s="2" t="s">
        <v>65</v>
      </c>
      <c r="K14" s="2">
        <v>8</v>
      </c>
      <c r="L14" s="2">
        <v>6</v>
      </c>
      <c r="M14" s="2">
        <v>500</v>
      </c>
      <c r="N14" s="2">
        <v>460</v>
      </c>
      <c r="O14" s="2">
        <v>1500</v>
      </c>
      <c r="P14" s="2">
        <v>2500</v>
      </c>
      <c r="Q14" s="2">
        <v>3000</v>
      </c>
      <c r="R14" s="2">
        <f t="shared" si="0"/>
        <v>6</v>
      </c>
      <c r="S14" s="7">
        <f t="shared" si="1"/>
        <v>0.75</v>
      </c>
      <c r="T14" s="7">
        <f t="shared" si="2"/>
        <v>0.76666666666666672</v>
      </c>
      <c r="U14" s="7">
        <f t="shared" si="3"/>
        <v>0.92</v>
      </c>
      <c r="V14" s="7">
        <f t="shared" si="4"/>
        <v>0.52900000000000014</v>
      </c>
      <c r="W14">
        <f t="shared" si="5"/>
        <v>40</v>
      </c>
      <c r="X14">
        <f t="shared" si="6"/>
        <v>3000</v>
      </c>
      <c r="Y14">
        <f t="shared" si="7"/>
        <v>500</v>
      </c>
      <c r="Z14" s="7">
        <f t="shared" si="8"/>
        <v>0.92</v>
      </c>
      <c r="AA14">
        <f t="shared" si="9"/>
        <v>2</v>
      </c>
      <c r="AB14" s="8">
        <f t="shared" si="10"/>
        <v>0.25</v>
      </c>
    </row>
    <row r="15" spans="1:33" ht="28.8" x14ac:dyDescent="0.3">
      <c r="A15" s="2" t="s">
        <v>66</v>
      </c>
      <c r="B15" s="2">
        <v>5000</v>
      </c>
      <c r="C15" s="2" t="s">
        <v>24</v>
      </c>
      <c r="D15" s="2" t="s">
        <v>25</v>
      </c>
      <c r="E15" s="2" t="s">
        <v>26</v>
      </c>
      <c r="F15" s="3">
        <v>46149.625</v>
      </c>
      <c r="G15" s="3">
        <v>46149.666666666664</v>
      </c>
      <c r="H15" s="2">
        <v>1</v>
      </c>
      <c r="I15" s="2" t="s">
        <v>67</v>
      </c>
      <c r="J15" s="2" t="s">
        <v>68</v>
      </c>
      <c r="K15" s="2">
        <v>7</v>
      </c>
      <c r="L15" s="2">
        <v>6.5</v>
      </c>
      <c r="M15" s="2">
        <v>480</v>
      </c>
      <c r="N15" s="2">
        <v>460</v>
      </c>
      <c r="O15" s="2">
        <v>1300</v>
      </c>
      <c r="P15" s="2">
        <v>1800</v>
      </c>
      <c r="Q15" s="2">
        <v>1300</v>
      </c>
      <c r="R15" s="2">
        <f t="shared" si="0"/>
        <v>6</v>
      </c>
      <c r="S15" s="7">
        <f t="shared" si="1"/>
        <v>0.8571428571428571</v>
      </c>
      <c r="T15" s="7">
        <f t="shared" si="2"/>
        <v>0.76666666666666672</v>
      </c>
      <c r="U15" s="7">
        <f t="shared" si="3"/>
        <v>0.95833333333333337</v>
      </c>
      <c r="V15" s="7">
        <f t="shared" si="4"/>
        <v>0.62976190476190474</v>
      </c>
      <c r="W15">
        <f t="shared" si="5"/>
        <v>20</v>
      </c>
      <c r="X15">
        <f t="shared" si="6"/>
        <v>1300</v>
      </c>
      <c r="Y15">
        <f t="shared" si="7"/>
        <v>-500</v>
      </c>
      <c r="Z15" s="7">
        <f t="shared" si="8"/>
        <v>0.95833333333333337</v>
      </c>
      <c r="AA15">
        <f t="shared" si="9"/>
        <v>0.5</v>
      </c>
      <c r="AB15" s="8">
        <f t="shared" si="10"/>
        <v>0.14285714285714285</v>
      </c>
    </row>
    <row r="16" spans="1:33" ht="28.8" x14ac:dyDescent="0.3">
      <c r="A16" s="2" t="s">
        <v>69</v>
      </c>
      <c r="B16" s="2">
        <v>11000</v>
      </c>
      <c r="C16" s="2" t="s">
        <v>30</v>
      </c>
      <c r="D16" s="2" t="s">
        <v>31</v>
      </c>
      <c r="E16" s="2" t="s">
        <v>32</v>
      </c>
      <c r="F16" s="3">
        <v>46150.375</v>
      </c>
      <c r="G16" s="3">
        <v>46150.479166666664</v>
      </c>
      <c r="H16" s="2">
        <v>2.5</v>
      </c>
      <c r="I16" s="2" t="s">
        <v>70</v>
      </c>
      <c r="J16" s="2" t="s">
        <v>71</v>
      </c>
      <c r="K16" s="2">
        <v>9</v>
      </c>
      <c r="L16" s="2">
        <v>6.5</v>
      </c>
      <c r="M16" s="2">
        <v>700</v>
      </c>
      <c r="N16" s="2">
        <v>620</v>
      </c>
      <c r="O16" s="2">
        <v>1600</v>
      </c>
      <c r="P16" s="2">
        <v>3000</v>
      </c>
      <c r="Q16" s="2">
        <v>4000</v>
      </c>
      <c r="R16" s="2">
        <f t="shared" si="0"/>
        <v>6.5</v>
      </c>
      <c r="S16" s="7">
        <f t="shared" si="1"/>
        <v>0.72222222222222221</v>
      </c>
      <c r="T16" s="7">
        <f t="shared" si="2"/>
        <v>0.9538461538461539</v>
      </c>
      <c r="U16" s="7">
        <f t="shared" si="3"/>
        <v>0.88571428571428568</v>
      </c>
      <c r="V16" s="7">
        <f t="shared" si="4"/>
        <v>0.61015873015873012</v>
      </c>
      <c r="W16">
        <f t="shared" si="5"/>
        <v>80</v>
      </c>
      <c r="X16">
        <f t="shared" si="6"/>
        <v>4000</v>
      </c>
      <c r="Y16">
        <f t="shared" si="7"/>
        <v>1000</v>
      </c>
      <c r="Z16" s="7">
        <f t="shared" si="8"/>
        <v>0.88571428571428568</v>
      </c>
      <c r="AA16">
        <f t="shared" si="9"/>
        <v>2.5</v>
      </c>
      <c r="AB16" s="8">
        <f t="shared" si="10"/>
        <v>0.27777777777777779</v>
      </c>
    </row>
    <row r="17" spans="1:28" ht="28.8" x14ac:dyDescent="0.3">
      <c r="A17" s="2" t="s">
        <v>73</v>
      </c>
      <c r="B17" s="2">
        <v>9000</v>
      </c>
      <c r="C17" s="2" t="s">
        <v>18</v>
      </c>
      <c r="D17" s="2" t="s">
        <v>19</v>
      </c>
      <c r="E17" s="2" t="s">
        <v>36</v>
      </c>
      <c r="F17" s="3">
        <v>46150.5</v>
      </c>
      <c r="G17" s="3">
        <v>46150.5625</v>
      </c>
      <c r="H17" s="2">
        <v>1.5</v>
      </c>
      <c r="I17" s="2" t="s">
        <v>74</v>
      </c>
      <c r="J17" s="2" t="s">
        <v>75</v>
      </c>
      <c r="K17" s="2">
        <v>8</v>
      </c>
      <c r="L17" s="2">
        <v>6.5</v>
      </c>
      <c r="M17" s="2">
        <v>520</v>
      </c>
      <c r="N17" s="2">
        <v>480</v>
      </c>
      <c r="O17" s="2">
        <v>1400</v>
      </c>
      <c r="P17" s="2">
        <v>2000</v>
      </c>
      <c r="Q17" s="2">
        <v>2100</v>
      </c>
      <c r="R17" s="2">
        <f t="shared" si="0"/>
        <v>6.5</v>
      </c>
      <c r="S17" s="7">
        <f t="shared" si="1"/>
        <v>0.8125</v>
      </c>
      <c r="T17" s="7">
        <f t="shared" si="2"/>
        <v>0.73846153846153839</v>
      </c>
      <c r="U17" s="7">
        <f t="shared" si="3"/>
        <v>0.92307692307692313</v>
      </c>
      <c r="V17" s="7">
        <f t="shared" si="4"/>
        <v>0.55384615384615388</v>
      </c>
      <c r="W17">
        <f t="shared" si="5"/>
        <v>40</v>
      </c>
      <c r="X17">
        <f t="shared" si="6"/>
        <v>2100</v>
      </c>
      <c r="Y17">
        <f t="shared" si="7"/>
        <v>100</v>
      </c>
      <c r="Z17" s="7">
        <f t="shared" si="8"/>
        <v>0.92307692307692313</v>
      </c>
      <c r="AA17">
        <f t="shared" si="9"/>
        <v>1.5</v>
      </c>
      <c r="AB17" s="8">
        <f t="shared" si="10"/>
        <v>0.1875</v>
      </c>
    </row>
    <row r="18" spans="1:28" ht="28.8" x14ac:dyDescent="0.3">
      <c r="A18" s="2" t="s">
        <v>76</v>
      </c>
      <c r="B18" s="2">
        <v>7000</v>
      </c>
      <c r="C18" s="2" t="s">
        <v>24</v>
      </c>
      <c r="D18" s="2" t="s">
        <v>25</v>
      </c>
      <c r="E18" s="2" t="s">
        <v>20</v>
      </c>
      <c r="F18" s="3">
        <v>46151.354166666664</v>
      </c>
      <c r="G18" s="3">
        <v>46151.416666666664</v>
      </c>
      <c r="H18" s="2">
        <v>1.5</v>
      </c>
      <c r="I18" s="2" t="s">
        <v>77</v>
      </c>
      <c r="J18" s="2" t="s">
        <v>78</v>
      </c>
      <c r="K18" s="2">
        <v>8</v>
      </c>
      <c r="L18" s="2">
        <v>6.5</v>
      </c>
      <c r="M18" s="2">
        <v>600</v>
      </c>
      <c r="N18" s="2">
        <v>560</v>
      </c>
      <c r="O18" s="2">
        <v>1500</v>
      </c>
      <c r="P18" s="2">
        <v>2000</v>
      </c>
      <c r="Q18" s="2">
        <v>2250</v>
      </c>
      <c r="R18" s="2">
        <f t="shared" si="0"/>
        <v>6.5</v>
      </c>
      <c r="S18" s="7">
        <f t="shared" si="1"/>
        <v>0.8125</v>
      </c>
      <c r="T18" s="7">
        <f t="shared" si="2"/>
        <v>0.86153846153846159</v>
      </c>
      <c r="U18" s="7">
        <f t="shared" si="3"/>
        <v>0.93333333333333335</v>
      </c>
      <c r="V18" s="7">
        <f t="shared" si="4"/>
        <v>0.65333333333333343</v>
      </c>
      <c r="W18">
        <f t="shared" si="5"/>
        <v>40</v>
      </c>
      <c r="X18">
        <f t="shared" si="6"/>
        <v>2250</v>
      </c>
      <c r="Y18">
        <f t="shared" si="7"/>
        <v>250</v>
      </c>
      <c r="Z18" s="7">
        <f t="shared" si="8"/>
        <v>0.93333333333333335</v>
      </c>
      <c r="AA18">
        <f t="shared" si="9"/>
        <v>1.5</v>
      </c>
      <c r="AB18" s="8">
        <f t="shared" si="10"/>
        <v>0.1875</v>
      </c>
    </row>
    <row r="19" spans="1:28" ht="28.8" x14ac:dyDescent="0.3">
      <c r="A19" s="2" t="s">
        <v>79</v>
      </c>
      <c r="B19" s="2">
        <v>13000</v>
      </c>
      <c r="C19" s="2" t="s">
        <v>30</v>
      </c>
      <c r="D19" s="2" t="s">
        <v>31</v>
      </c>
      <c r="E19" s="2" t="s">
        <v>26</v>
      </c>
      <c r="F19" s="3">
        <v>46151.583333333336</v>
      </c>
      <c r="G19" s="3">
        <v>46151.625</v>
      </c>
      <c r="H19" s="2">
        <v>1</v>
      </c>
      <c r="I19" s="2" t="s">
        <v>80</v>
      </c>
      <c r="J19" s="2" t="s">
        <v>81</v>
      </c>
      <c r="K19" s="2">
        <v>8</v>
      </c>
      <c r="L19" s="2">
        <v>7</v>
      </c>
      <c r="M19" s="2">
        <v>650</v>
      </c>
      <c r="N19" s="2">
        <v>630</v>
      </c>
      <c r="O19" s="2">
        <v>1400</v>
      </c>
      <c r="P19" s="2">
        <v>1800</v>
      </c>
      <c r="Q19" s="2">
        <v>1400</v>
      </c>
      <c r="R19" s="2">
        <f t="shared" si="0"/>
        <v>7</v>
      </c>
      <c r="S19" s="7">
        <f t="shared" si="1"/>
        <v>0.875</v>
      </c>
      <c r="T19" s="7">
        <f t="shared" si="2"/>
        <v>0.9</v>
      </c>
      <c r="U19" s="7">
        <f t="shared" si="3"/>
        <v>0.96923076923076923</v>
      </c>
      <c r="V19" s="7">
        <f t="shared" si="4"/>
        <v>0.7632692307692307</v>
      </c>
      <c r="W19">
        <f t="shared" si="5"/>
        <v>20</v>
      </c>
      <c r="X19">
        <f t="shared" si="6"/>
        <v>1400</v>
      </c>
      <c r="Y19">
        <f t="shared" si="7"/>
        <v>-400</v>
      </c>
      <c r="Z19" s="7">
        <f t="shared" si="8"/>
        <v>0.96923076923076923</v>
      </c>
      <c r="AA19">
        <f t="shared" si="9"/>
        <v>1</v>
      </c>
      <c r="AB19" s="8">
        <f t="shared" si="10"/>
        <v>0.125</v>
      </c>
    </row>
    <row r="20" spans="1:28" ht="28.8" x14ac:dyDescent="0.3">
      <c r="A20" s="2" t="s">
        <v>82</v>
      </c>
      <c r="B20" s="2">
        <v>6000</v>
      </c>
      <c r="C20" s="2" t="s">
        <v>18</v>
      </c>
      <c r="D20" s="2" t="s">
        <v>19</v>
      </c>
      <c r="E20" s="2" t="s">
        <v>32</v>
      </c>
      <c r="F20" s="3">
        <v>46152.375</v>
      </c>
      <c r="G20" s="3">
        <v>46152.458333333336</v>
      </c>
      <c r="H20" s="2">
        <v>2</v>
      </c>
      <c r="I20" s="2" t="s">
        <v>83</v>
      </c>
      <c r="J20" s="2" t="s">
        <v>84</v>
      </c>
      <c r="K20" s="2">
        <v>9</v>
      </c>
      <c r="L20" s="2">
        <v>7</v>
      </c>
      <c r="M20" s="2">
        <v>700</v>
      </c>
      <c r="N20" s="2">
        <v>660</v>
      </c>
      <c r="O20" s="2">
        <v>1500</v>
      </c>
      <c r="P20" s="2">
        <v>2500</v>
      </c>
      <c r="Q20" s="2">
        <v>3000</v>
      </c>
      <c r="R20" s="2">
        <f t="shared" si="0"/>
        <v>7</v>
      </c>
      <c r="S20" s="7">
        <f t="shared" si="1"/>
        <v>0.77777777777777779</v>
      </c>
      <c r="T20" s="7">
        <f t="shared" si="2"/>
        <v>0.94285714285714295</v>
      </c>
      <c r="U20" s="7">
        <f t="shared" si="3"/>
        <v>0.94285714285714284</v>
      </c>
      <c r="V20" s="7">
        <f t="shared" si="4"/>
        <v>0.6914285714285715</v>
      </c>
      <c r="W20">
        <f t="shared" si="5"/>
        <v>40</v>
      </c>
      <c r="X20">
        <f t="shared" si="6"/>
        <v>3000</v>
      </c>
      <c r="Y20">
        <f t="shared" si="7"/>
        <v>500</v>
      </c>
      <c r="Z20" s="7">
        <f t="shared" si="8"/>
        <v>0.94285714285714284</v>
      </c>
      <c r="AA20">
        <f t="shared" si="9"/>
        <v>2</v>
      </c>
      <c r="AB20" s="8">
        <f t="shared" si="10"/>
        <v>0.22222222222222221</v>
      </c>
    </row>
    <row r="21" spans="1:28" ht="28.8" x14ac:dyDescent="0.3">
      <c r="A21" s="2" t="s">
        <v>85</v>
      </c>
      <c r="B21" s="2">
        <v>10000</v>
      </c>
      <c r="C21" s="2" t="s">
        <v>24</v>
      </c>
      <c r="D21" s="2" t="s">
        <v>25</v>
      </c>
      <c r="E21" s="2" t="s">
        <v>36</v>
      </c>
      <c r="F21" s="3">
        <v>46152.541666666664</v>
      </c>
      <c r="G21" s="3">
        <v>46152.625</v>
      </c>
      <c r="H21" s="2">
        <v>2</v>
      </c>
      <c r="I21" s="2" t="s">
        <v>86</v>
      </c>
      <c r="J21" s="2" t="s">
        <v>87</v>
      </c>
      <c r="K21" s="2">
        <v>8</v>
      </c>
      <c r="L21" s="2">
        <v>6</v>
      </c>
      <c r="M21" s="2">
        <v>500</v>
      </c>
      <c r="N21" s="2">
        <v>470</v>
      </c>
      <c r="O21" s="2">
        <v>1600</v>
      </c>
      <c r="P21" s="2">
        <v>2500</v>
      </c>
      <c r="Q21" s="2">
        <v>3200</v>
      </c>
      <c r="R21" s="2">
        <f t="shared" si="0"/>
        <v>6</v>
      </c>
      <c r="S21" s="7">
        <f t="shared" si="1"/>
        <v>0.75</v>
      </c>
      <c r="T21" s="7">
        <f t="shared" si="2"/>
        <v>0.78333333333333333</v>
      </c>
      <c r="U21" s="7">
        <f t="shared" si="3"/>
        <v>0.94</v>
      </c>
      <c r="V21" s="7">
        <f t="shared" si="4"/>
        <v>0.55225000000000002</v>
      </c>
      <c r="W21">
        <f t="shared" si="5"/>
        <v>30</v>
      </c>
      <c r="X21">
        <f t="shared" si="6"/>
        <v>3200</v>
      </c>
      <c r="Y21">
        <f t="shared" si="7"/>
        <v>700</v>
      </c>
      <c r="Z21" s="7">
        <f t="shared" si="8"/>
        <v>0.94</v>
      </c>
      <c r="AA21">
        <f t="shared" si="9"/>
        <v>2</v>
      </c>
      <c r="AB21" s="8">
        <f t="shared" si="10"/>
        <v>0.25</v>
      </c>
    </row>
    <row r="22" spans="1:28" ht="28.8" x14ac:dyDescent="0.3">
      <c r="A22" s="2" t="s">
        <v>88</v>
      </c>
      <c r="B22" s="2">
        <v>12000</v>
      </c>
      <c r="C22" s="2" t="s">
        <v>30</v>
      </c>
      <c r="D22" s="2" t="s">
        <v>31</v>
      </c>
      <c r="E22" s="2" t="s">
        <v>20</v>
      </c>
      <c r="F22" s="3">
        <v>46153.333333333336</v>
      </c>
      <c r="G22" s="3">
        <v>46153.395833333336</v>
      </c>
      <c r="H22" s="2">
        <v>1.5</v>
      </c>
      <c r="I22" s="2" t="s">
        <v>89</v>
      </c>
      <c r="J22" s="2" t="s">
        <v>90</v>
      </c>
      <c r="K22" s="2">
        <v>7</v>
      </c>
      <c r="L22" s="2">
        <v>6</v>
      </c>
      <c r="M22" s="2">
        <v>480</v>
      </c>
      <c r="N22" s="2">
        <v>450</v>
      </c>
      <c r="O22" s="2">
        <v>1300</v>
      </c>
      <c r="P22" s="2">
        <v>2000</v>
      </c>
      <c r="Q22" s="2">
        <v>1950</v>
      </c>
      <c r="R22" s="2">
        <f t="shared" si="0"/>
        <v>5.5</v>
      </c>
      <c r="S22" s="7">
        <f t="shared" si="1"/>
        <v>0.7857142857142857</v>
      </c>
      <c r="T22" s="7">
        <f t="shared" si="2"/>
        <v>0.81818181818181823</v>
      </c>
      <c r="U22" s="7">
        <f t="shared" si="3"/>
        <v>0.9375</v>
      </c>
      <c r="V22" s="7">
        <f t="shared" si="4"/>
        <v>0.60267857142857151</v>
      </c>
      <c r="W22">
        <f t="shared" si="5"/>
        <v>30</v>
      </c>
      <c r="X22">
        <f t="shared" si="6"/>
        <v>1950</v>
      </c>
      <c r="Y22">
        <f t="shared" si="7"/>
        <v>-50</v>
      </c>
      <c r="Z22" s="7">
        <f t="shared" si="8"/>
        <v>0.9375</v>
      </c>
      <c r="AA22">
        <f t="shared" si="9"/>
        <v>1</v>
      </c>
      <c r="AB22" s="8">
        <f t="shared" si="10"/>
        <v>0.21428571428571427</v>
      </c>
    </row>
    <row r="23" spans="1:28" ht="28.8" x14ac:dyDescent="0.3">
      <c r="A23" s="2" t="s">
        <v>91</v>
      </c>
      <c r="B23" s="2">
        <v>8000</v>
      </c>
      <c r="C23" s="2" t="s">
        <v>18</v>
      </c>
      <c r="D23" s="2" t="s">
        <v>19</v>
      </c>
      <c r="E23" s="2" t="s">
        <v>26</v>
      </c>
      <c r="F23" s="3">
        <v>46153.583333333336</v>
      </c>
      <c r="G23" s="3">
        <v>46153.625</v>
      </c>
      <c r="H23" s="2">
        <v>1</v>
      </c>
      <c r="I23" s="2" t="s">
        <v>92</v>
      </c>
      <c r="J23" s="2" t="s">
        <v>93</v>
      </c>
      <c r="K23" s="2">
        <v>8</v>
      </c>
      <c r="L23" s="2">
        <v>7</v>
      </c>
      <c r="M23" s="2">
        <v>600</v>
      </c>
      <c r="N23" s="2">
        <v>580</v>
      </c>
      <c r="O23" s="2">
        <v>1400</v>
      </c>
      <c r="P23" s="2">
        <v>1800</v>
      </c>
      <c r="Q23" s="2">
        <v>1400</v>
      </c>
      <c r="R23" s="2">
        <f t="shared" si="0"/>
        <v>7</v>
      </c>
      <c r="S23" s="7">
        <f t="shared" si="1"/>
        <v>0.875</v>
      </c>
      <c r="T23" s="7">
        <f t="shared" si="2"/>
        <v>0.82857142857142851</v>
      </c>
      <c r="U23" s="7">
        <f t="shared" si="3"/>
        <v>0.96666666666666667</v>
      </c>
      <c r="V23" s="7">
        <f t="shared" si="4"/>
        <v>0.70083333333333331</v>
      </c>
      <c r="W23">
        <f t="shared" si="5"/>
        <v>20</v>
      </c>
      <c r="X23">
        <f t="shared" si="6"/>
        <v>1400</v>
      </c>
      <c r="Y23">
        <f t="shared" si="7"/>
        <v>-400</v>
      </c>
      <c r="Z23" s="7">
        <f t="shared" si="8"/>
        <v>0.96666666666666667</v>
      </c>
      <c r="AA23">
        <f t="shared" si="9"/>
        <v>1</v>
      </c>
      <c r="AB23" s="8">
        <f t="shared" si="10"/>
        <v>0.125</v>
      </c>
    </row>
    <row r="24" spans="1:28" ht="28.8" x14ac:dyDescent="0.3">
      <c r="A24" s="2" t="s">
        <v>94</v>
      </c>
      <c r="B24" s="2">
        <v>15000</v>
      </c>
      <c r="C24" s="2" t="s">
        <v>24</v>
      </c>
      <c r="D24" s="2" t="s">
        <v>25</v>
      </c>
      <c r="E24" s="2" t="s">
        <v>32</v>
      </c>
      <c r="F24" s="3">
        <v>46154.375</v>
      </c>
      <c r="G24" s="3">
        <v>46154.458333333336</v>
      </c>
      <c r="H24" s="2">
        <v>2</v>
      </c>
      <c r="I24" s="2" t="s">
        <v>95</v>
      </c>
      <c r="J24" s="2" t="s">
        <v>96</v>
      </c>
      <c r="K24" s="2">
        <v>9</v>
      </c>
      <c r="L24" s="2">
        <v>7</v>
      </c>
      <c r="M24" s="2">
        <v>700</v>
      </c>
      <c r="N24" s="2">
        <v>650</v>
      </c>
      <c r="O24" s="2">
        <v>1500</v>
      </c>
      <c r="P24" s="2">
        <v>2500</v>
      </c>
      <c r="Q24" s="2">
        <v>3000</v>
      </c>
      <c r="R24" s="2">
        <f t="shared" si="0"/>
        <v>7</v>
      </c>
      <c r="S24" s="7">
        <f t="shared" si="1"/>
        <v>0.77777777777777779</v>
      </c>
      <c r="T24" s="7">
        <f t="shared" si="2"/>
        <v>0.9285714285714286</v>
      </c>
      <c r="U24" s="7">
        <f t="shared" si="3"/>
        <v>0.9285714285714286</v>
      </c>
      <c r="V24" s="7">
        <f t="shared" si="4"/>
        <v>0.67063492063492069</v>
      </c>
      <c r="W24">
        <f t="shared" si="5"/>
        <v>50</v>
      </c>
      <c r="X24">
        <f t="shared" si="6"/>
        <v>3000</v>
      </c>
      <c r="Y24">
        <f t="shared" si="7"/>
        <v>500</v>
      </c>
      <c r="Z24" s="7">
        <f t="shared" si="8"/>
        <v>0.9285714285714286</v>
      </c>
      <c r="AA24">
        <f t="shared" si="9"/>
        <v>2</v>
      </c>
      <c r="AB24" s="8">
        <f t="shared" si="10"/>
        <v>0.22222222222222221</v>
      </c>
    </row>
    <row r="25" spans="1:28" ht="28.8" x14ac:dyDescent="0.3">
      <c r="A25" s="2" t="s">
        <v>97</v>
      </c>
      <c r="B25" s="2">
        <v>5000</v>
      </c>
      <c r="C25" s="2" t="s">
        <v>30</v>
      </c>
      <c r="D25" s="2" t="s">
        <v>31</v>
      </c>
      <c r="E25" s="2" t="s">
        <v>36</v>
      </c>
      <c r="F25" s="3">
        <v>46154.541666666664</v>
      </c>
      <c r="G25" s="3">
        <v>46154.604166666664</v>
      </c>
      <c r="H25" s="2">
        <v>1.5</v>
      </c>
      <c r="I25" s="2" t="s">
        <v>98</v>
      </c>
      <c r="J25" s="2" t="s">
        <v>99</v>
      </c>
      <c r="K25" s="2">
        <v>8</v>
      </c>
      <c r="L25" s="2">
        <v>6.5</v>
      </c>
      <c r="M25" s="2">
        <v>550</v>
      </c>
      <c r="N25" s="2">
        <v>500</v>
      </c>
      <c r="O25" s="2">
        <v>1600</v>
      </c>
      <c r="P25" s="2">
        <v>2000</v>
      </c>
      <c r="Q25" s="2">
        <v>2400</v>
      </c>
      <c r="R25" s="2">
        <f t="shared" si="0"/>
        <v>6.5</v>
      </c>
      <c r="S25" s="7">
        <f t="shared" si="1"/>
        <v>0.8125</v>
      </c>
      <c r="T25" s="7">
        <f t="shared" si="2"/>
        <v>0.76923076923076927</v>
      </c>
      <c r="U25" s="7">
        <f t="shared" si="3"/>
        <v>0.90909090909090906</v>
      </c>
      <c r="V25" s="7">
        <f t="shared" si="4"/>
        <v>0.56818181818181812</v>
      </c>
      <c r="W25">
        <f t="shared" si="5"/>
        <v>50</v>
      </c>
      <c r="X25">
        <f t="shared" si="6"/>
        <v>2400</v>
      </c>
      <c r="Y25">
        <f t="shared" si="7"/>
        <v>400</v>
      </c>
      <c r="Z25" s="7">
        <f t="shared" si="8"/>
        <v>0.90909090909090906</v>
      </c>
      <c r="AA25">
        <f t="shared" si="9"/>
        <v>1.5</v>
      </c>
      <c r="AB25" s="8">
        <f t="shared" si="10"/>
        <v>0.1875</v>
      </c>
    </row>
    <row r="26" spans="1:28" ht="28.8" x14ac:dyDescent="0.3">
      <c r="A26" s="2" t="s">
        <v>100</v>
      </c>
      <c r="B26" s="2">
        <v>11000</v>
      </c>
      <c r="C26" s="2" t="s">
        <v>18</v>
      </c>
      <c r="D26" s="2" t="s">
        <v>19</v>
      </c>
      <c r="E26" s="2" t="s">
        <v>20</v>
      </c>
      <c r="F26" s="3">
        <v>46155.333333333336</v>
      </c>
      <c r="G26" s="3">
        <v>46155.416666666664</v>
      </c>
      <c r="H26" s="2">
        <v>2</v>
      </c>
      <c r="I26" s="2" t="s">
        <v>101</v>
      </c>
      <c r="J26" s="2" t="s">
        <v>102</v>
      </c>
      <c r="K26" s="2">
        <v>8</v>
      </c>
      <c r="L26" s="2">
        <v>6</v>
      </c>
      <c r="M26" s="2">
        <v>500</v>
      </c>
      <c r="N26" s="2">
        <v>460</v>
      </c>
      <c r="O26" s="2">
        <v>1500</v>
      </c>
      <c r="P26" s="2">
        <v>2500</v>
      </c>
      <c r="Q26" s="2">
        <v>3000</v>
      </c>
      <c r="R26" s="2">
        <f t="shared" si="0"/>
        <v>6</v>
      </c>
      <c r="S26" s="7">
        <f t="shared" si="1"/>
        <v>0.75</v>
      </c>
      <c r="T26" s="7">
        <f t="shared" si="2"/>
        <v>0.76666666666666672</v>
      </c>
      <c r="U26" s="7">
        <f t="shared" si="3"/>
        <v>0.92</v>
      </c>
      <c r="V26" s="7">
        <f t="shared" si="4"/>
        <v>0.52900000000000014</v>
      </c>
      <c r="W26">
        <f t="shared" si="5"/>
        <v>40</v>
      </c>
      <c r="X26">
        <f t="shared" si="6"/>
        <v>3000</v>
      </c>
      <c r="Y26">
        <f t="shared" si="7"/>
        <v>500</v>
      </c>
      <c r="Z26" s="7">
        <f t="shared" si="8"/>
        <v>0.92</v>
      </c>
      <c r="AA26">
        <f t="shared" si="9"/>
        <v>2</v>
      </c>
      <c r="AB26" s="8">
        <f t="shared" si="10"/>
        <v>0.25</v>
      </c>
    </row>
    <row r="27" spans="1:28" ht="28.8" x14ac:dyDescent="0.3">
      <c r="A27" s="2" t="s">
        <v>103</v>
      </c>
      <c r="B27" s="2">
        <v>9000</v>
      </c>
      <c r="C27" s="2" t="s">
        <v>24</v>
      </c>
      <c r="D27" s="2" t="s">
        <v>25</v>
      </c>
      <c r="E27" s="2" t="s">
        <v>26</v>
      </c>
      <c r="F27" s="3">
        <v>46155.625</v>
      </c>
      <c r="G27" s="3">
        <v>46155.666666666664</v>
      </c>
      <c r="H27" s="2">
        <v>1</v>
      </c>
      <c r="I27" s="2" t="s">
        <v>104</v>
      </c>
      <c r="J27" s="2" t="s">
        <v>105</v>
      </c>
      <c r="K27" s="2">
        <v>7</v>
      </c>
      <c r="L27" s="2">
        <v>6.5</v>
      </c>
      <c r="M27" s="2">
        <v>480</v>
      </c>
      <c r="N27" s="2">
        <v>460</v>
      </c>
      <c r="O27" s="2">
        <v>1300</v>
      </c>
      <c r="P27" s="2">
        <v>1800</v>
      </c>
      <c r="Q27" s="2">
        <v>1300</v>
      </c>
      <c r="R27" s="2">
        <f t="shared" si="0"/>
        <v>6</v>
      </c>
      <c r="S27" s="7">
        <f t="shared" si="1"/>
        <v>0.8571428571428571</v>
      </c>
      <c r="T27" s="7">
        <f t="shared" si="2"/>
        <v>0.76666666666666672</v>
      </c>
      <c r="U27" s="7">
        <f t="shared" si="3"/>
        <v>0.95833333333333337</v>
      </c>
      <c r="V27" s="7">
        <f t="shared" si="4"/>
        <v>0.62976190476190474</v>
      </c>
      <c r="W27">
        <f t="shared" si="5"/>
        <v>20</v>
      </c>
      <c r="X27">
        <f t="shared" si="6"/>
        <v>1300</v>
      </c>
      <c r="Y27">
        <f t="shared" si="7"/>
        <v>-500</v>
      </c>
      <c r="Z27" s="7">
        <f t="shared" si="8"/>
        <v>0.95833333333333337</v>
      </c>
      <c r="AA27">
        <f t="shared" si="9"/>
        <v>0.5</v>
      </c>
      <c r="AB27" s="8">
        <f t="shared" si="10"/>
        <v>0.14285714285714285</v>
      </c>
    </row>
    <row r="28" spans="1:28" ht="28.8" x14ac:dyDescent="0.3">
      <c r="A28" s="2" t="s">
        <v>106</v>
      </c>
      <c r="B28" s="2">
        <v>7000</v>
      </c>
      <c r="C28" s="2" t="s">
        <v>30</v>
      </c>
      <c r="D28" s="2" t="s">
        <v>31</v>
      </c>
      <c r="E28" s="2" t="s">
        <v>32</v>
      </c>
      <c r="F28" s="3">
        <v>46156.375</v>
      </c>
      <c r="G28" s="3">
        <v>46156.479166666664</v>
      </c>
      <c r="H28" s="2">
        <v>2.5</v>
      </c>
      <c r="I28" s="2" t="s">
        <v>107</v>
      </c>
      <c r="J28" s="2" t="s">
        <v>108</v>
      </c>
      <c r="K28" s="2">
        <v>9</v>
      </c>
      <c r="L28" s="2">
        <v>6.5</v>
      </c>
      <c r="M28" s="2">
        <v>700</v>
      </c>
      <c r="N28" s="2">
        <v>620</v>
      </c>
      <c r="O28" s="2">
        <v>1600</v>
      </c>
      <c r="P28" s="2">
        <v>3000</v>
      </c>
      <c r="Q28" s="2">
        <v>4000</v>
      </c>
      <c r="R28" s="2">
        <f t="shared" si="0"/>
        <v>6.5</v>
      </c>
      <c r="S28" s="7">
        <f t="shared" si="1"/>
        <v>0.72222222222222221</v>
      </c>
      <c r="T28" s="7">
        <f t="shared" si="2"/>
        <v>0.9538461538461539</v>
      </c>
      <c r="U28" s="7">
        <f t="shared" si="3"/>
        <v>0.88571428571428568</v>
      </c>
      <c r="V28" s="7">
        <f t="shared" si="4"/>
        <v>0.61015873015873012</v>
      </c>
      <c r="W28">
        <f t="shared" si="5"/>
        <v>80</v>
      </c>
      <c r="X28">
        <f t="shared" si="6"/>
        <v>4000</v>
      </c>
      <c r="Y28">
        <f t="shared" si="7"/>
        <v>1000</v>
      </c>
      <c r="Z28" s="7">
        <f t="shared" si="8"/>
        <v>0.88571428571428568</v>
      </c>
      <c r="AA28">
        <f t="shared" si="9"/>
        <v>2.5</v>
      </c>
      <c r="AB28" s="8">
        <f t="shared" si="10"/>
        <v>0.27777777777777779</v>
      </c>
    </row>
    <row r="29" spans="1:28" ht="28.8" x14ac:dyDescent="0.3">
      <c r="A29" s="2" t="s">
        <v>109</v>
      </c>
      <c r="B29" s="2">
        <v>13000</v>
      </c>
      <c r="C29" s="2" t="s">
        <v>18</v>
      </c>
      <c r="D29" s="2" t="s">
        <v>19</v>
      </c>
      <c r="E29" s="2" t="s">
        <v>36</v>
      </c>
      <c r="F29" s="3">
        <v>46156.5</v>
      </c>
      <c r="G29" s="3">
        <v>46156.5625</v>
      </c>
      <c r="H29" s="2">
        <v>1.5</v>
      </c>
      <c r="I29" s="2" t="s">
        <v>110</v>
      </c>
      <c r="J29" s="2" t="s">
        <v>111</v>
      </c>
      <c r="K29" s="2">
        <v>8</v>
      </c>
      <c r="L29" s="2">
        <v>6.5</v>
      </c>
      <c r="M29" s="2">
        <v>520</v>
      </c>
      <c r="N29" s="2">
        <v>480</v>
      </c>
      <c r="O29" s="2">
        <v>1400</v>
      </c>
      <c r="P29" s="2">
        <v>2000</v>
      </c>
      <c r="Q29" s="2">
        <v>2100</v>
      </c>
      <c r="R29" s="2">
        <f t="shared" si="0"/>
        <v>6.5</v>
      </c>
      <c r="S29" s="7">
        <f t="shared" si="1"/>
        <v>0.8125</v>
      </c>
      <c r="T29" s="7">
        <f t="shared" si="2"/>
        <v>0.73846153846153839</v>
      </c>
      <c r="U29" s="7">
        <f t="shared" si="3"/>
        <v>0.92307692307692313</v>
      </c>
      <c r="V29" s="7">
        <f t="shared" si="4"/>
        <v>0.55384615384615388</v>
      </c>
      <c r="W29">
        <f t="shared" si="5"/>
        <v>40</v>
      </c>
      <c r="X29">
        <f t="shared" si="6"/>
        <v>2100</v>
      </c>
      <c r="Y29">
        <f t="shared" si="7"/>
        <v>100</v>
      </c>
      <c r="Z29" s="7">
        <f t="shared" si="8"/>
        <v>0.92307692307692313</v>
      </c>
      <c r="AA29">
        <f t="shared" si="9"/>
        <v>1.5</v>
      </c>
      <c r="AB29" s="8">
        <f t="shared" si="10"/>
        <v>0.1875</v>
      </c>
    </row>
    <row r="30" spans="1:28" ht="28.8" x14ac:dyDescent="0.3">
      <c r="A30" s="2" t="s">
        <v>112</v>
      </c>
      <c r="B30" s="2">
        <v>6000</v>
      </c>
      <c r="C30" s="2" t="s">
        <v>24</v>
      </c>
      <c r="D30" s="2" t="s">
        <v>25</v>
      </c>
      <c r="E30" s="2" t="s">
        <v>20</v>
      </c>
      <c r="F30" s="3">
        <v>46157.354166666664</v>
      </c>
      <c r="G30" s="3">
        <v>46157.416666666664</v>
      </c>
      <c r="H30" s="2">
        <v>1.5</v>
      </c>
      <c r="I30" s="2" t="s">
        <v>113</v>
      </c>
      <c r="J30" s="2" t="s">
        <v>114</v>
      </c>
      <c r="K30" s="2">
        <v>8</v>
      </c>
      <c r="L30" s="2">
        <v>6.5</v>
      </c>
      <c r="M30" s="2">
        <v>600</v>
      </c>
      <c r="N30" s="2">
        <v>560</v>
      </c>
      <c r="O30" s="2">
        <v>1500</v>
      </c>
      <c r="P30" s="2">
        <v>2000</v>
      </c>
      <c r="Q30" s="2">
        <v>2250</v>
      </c>
      <c r="R30" s="2">
        <f t="shared" si="0"/>
        <v>6.5</v>
      </c>
      <c r="S30" s="7">
        <f t="shared" si="1"/>
        <v>0.8125</v>
      </c>
      <c r="T30" s="7">
        <f t="shared" si="2"/>
        <v>0.86153846153846159</v>
      </c>
      <c r="U30" s="7">
        <f t="shared" si="3"/>
        <v>0.93333333333333335</v>
      </c>
      <c r="V30" s="7">
        <f t="shared" si="4"/>
        <v>0.65333333333333343</v>
      </c>
      <c r="W30">
        <f t="shared" si="5"/>
        <v>40</v>
      </c>
      <c r="X30">
        <f t="shared" si="6"/>
        <v>2250</v>
      </c>
      <c r="Y30">
        <f t="shared" si="7"/>
        <v>250</v>
      </c>
      <c r="Z30" s="7">
        <f t="shared" si="8"/>
        <v>0.93333333333333335</v>
      </c>
      <c r="AA30">
        <f t="shared" si="9"/>
        <v>1.5</v>
      </c>
      <c r="AB30" s="8">
        <f t="shared" si="10"/>
        <v>0.1875</v>
      </c>
    </row>
    <row r="31" spans="1:28" ht="28.8" x14ac:dyDescent="0.3">
      <c r="A31" s="2" t="s">
        <v>115</v>
      </c>
      <c r="B31" s="2">
        <v>10000</v>
      </c>
      <c r="C31" s="2" t="s">
        <v>30</v>
      </c>
      <c r="D31" s="2" t="s">
        <v>31</v>
      </c>
      <c r="E31" s="2" t="s">
        <v>26</v>
      </c>
      <c r="F31" s="3">
        <v>46157.583333333336</v>
      </c>
      <c r="G31" s="3">
        <v>46157.625</v>
      </c>
      <c r="H31" s="2">
        <v>1</v>
      </c>
      <c r="I31" s="2" t="s">
        <v>116</v>
      </c>
      <c r="J31" s="2" t="s">
        <v>117</v>
      </c>
      <c r="K31" s="2">
        <v>8</v>
      </c>
      <c r="L31" s="2">
        <v>7</v>
      </c>
      <c r="M31" s="2">
        <v>650</v>
      </c>
      <c r="N31" s="2">
        <v>630</v>
      </c>
      <c r="O31" s="2">
        <v>1400</v>
      </c>
      <c r="P31" s="2">
        <v>1800</v>
      </c>
      <c r="Q31" s="2">
        <v>1400</v>
      </c>
      <c r="R31" s="2">
        <f t="shared" si="0"/>
        <v>7</v>
      </c>
      <c r="S31" s="7">
        <f t="shared" si="1"/>
        <v>0.875</v>
      </c>
      <c r="T31" s="7">
        <f t="shared" si="2"/>
        <v>0.9</v>
      </c>
      <c r="U31" s="7">
        <f t="shared" si="3"/>
        <v>0.96923076923076923</v>
      </c>
      <c r="V31" s="7">
        <f t="shared" si="4"/>
        <v>0.7632692307692307</v>
      </c>
      <c r="W31">
        <f t="shared" si="5"/>
        <v>20</v>
      </c>
      <c r="X31">
        <f t="shared" si="6"/>
        <v>1400</v>
      </c>
      <c r="Y31">
        <f t="shared" si="7"/>
        <v>-400</v>
      </c>
      <c r="Z31" s="7">
        <f t="shared" si="8"/>
        <v>0.96923076923076923</v>
      </c>
      <c r="AA31">
        <f t="shared" si="9"/>
        <v>1</v>
      </c>
      <c r="AB31" s="8">
        <f t="shared" si="10"/>
        <v>0.125</v>
      </c>
    </row>
    <row r="32" spans="1:28" ht="28.8" x14ac:dyDescent="0.3">
      <c r="A32" s="2" t="s">
        <v>118</v>
      </c>
      <c r="B32" s="2">
        <v>12000</v>
      </c>
      <c r="C32" s="2" t="s">
        <v>18</v>
      </c>
      <c r="D32" s="2" t="s">
        <v>19</v>
      </c>
      <c r="E32" s="2" t="s">
        <v>32</v>
      </c>
      <c r="F32" s="3">
        <v>46158.375</v>
      </c>
      <c r="G32" s="3">
        <v>46158.458333333336</v>
      </c>
      <c r="H32" s="2">
        <v>2</v>
      </c>
      <c r="I32" s="2" t="s">
        <v>119</v>
      </c>
      <c r="J32" s="2" t="s">
        <v>120</v>
      </c>
      <c r="K32" s="2">
        <v>9</v>
      </c>
      <c r="L32" s="2">
        <v>7</v>
      </c>
      <c r="M32" s="2">
        <v>700</v>
      </c>
      <c r="N32" s="2">
        <v>660</v>
      </c>
      <c r="O32" s="2">
        <v>1500</v>
      </c>
      <c r="P32" s="2">
        <v>2500</v>
      </c>
      <c r="Q32" s="2">
        <v>3000</v>
      </c>
      <c r="R32" s="2">
        <f t="shared" si="0"/>
        <v>7</v>
      </c>
      <c r="S32" s="7">
        <f t="shared" si="1"/>
        <v>0.77777777777777779</v>
      </c>
      <c r="T32" s="7">
        <f t="shared" si="2"/>
        <v>0.94285714285714295</v>
      </c>
      <c r="U32" s="7">
        <f t="shared" si="3"/>
        <v>0.94285714285714284</v>
      </c>
      <c r="V32" s="7">
        <f t="shared" si="4"/>
        <v>0.6914285714285715</v>
      </c>
      <c r="W32">
        <f t="shared" si="5"/>
        <v>40</v>
      </c>
      <c r="X32">
        <f t="shared" si="6"/>
        <v>3000</v>
      </c>
      <c r="Y32">
        <f t="shared" si="7"/>
        <v>500</v>
      </c>
      <c r="Z32" s="7">
        <f t="shared" si="8"/>
        <v>0.94285714285714284</v>
      </c>
      <c r="AA32">
        <f t="shared" si="9"/>
        <v>2</v>
      </c>
      <c r="AB32" s="8">
        <f t="shared" si="10"/>
        <v>0.22222222222222221</v>
      </c>
    </row>
    <row r="33" spans="1:28" ht="28.8" x14ac:dyDescent="0.3">
      <c r="A33" s="2" t="s">
        <v>121</v>
      </c>
      <c r="B33" s="2">
        <v>8000</v>
      </c>
      <c r="C33" s="2" t="s">
        <v>24</v>
      </c>
      <c r="D33" s="2" t="s">
        <v>25</v>
      </c>
      <c r="E33" s="2" t="s">
        <v>36</v>
      </c>
      <c r="F33" s="3">
        <v>46158.541666666664</v>
      </c>
      <c r="G33" s="3">
        <v>46158.604166666664</v>
      </c>
      <c r="H33" s="2">
        <v>1.5</v>
      </c>
      <c r="I33" s="2" t="s">
        <v>122</v>
      </c>
      <c r="J33" s="2" t="s">
        <v>123</v>
      </c>
      <c r="K33" s="2">
        <v>8</v>
      </c>
      <c r="L33" s="2">
        <v>6.5</v>
      </c>
      <c r="M33" s="2">
        <v>550</v>
      </c>
      <c r="N33" s="2">
        <v>500</v>
      </c>
      <c r="O33" s="2">
        <v>1600</v>
      </c>
      <c r="P33" s="2">
        <v>2000</v>
      </c>
      <c r="Q33" s="2">
        <v>2400</v>
      </c>
      <c r="R33" s="2">
        <f t="shared" si="0"/>
        <v>6.5</v>
      </c>
      <c r="S33" s="7">
        <f t="shared" si="1"/>
        <v>0.8125</v>
      </c>
      <c r="T33" s="7">
        <f t="shared" si="2"/>
        <v>0.76923076923076927</v>
      </c>
      <c r="U33" s="7">
        <f t="shared" si="3"/>
        <v>0.90909090909090906</v>
      </c>
      <c r="V33" s="7">
        <f t="shared" si="4"/>
        <v>0.56818181818181812</v>
      </c>
      <c r="W33">
        <f t="shared" si="5"/>
        <v>50</v>
      </c>
      <c r="X33">
        <f t="shared" si="6"/>
        <v>2400</v>
      </c>
      <c r="Y33">
        <f t="shared" si="7"/>
        <v>400</v>
      </c>
      <c r="Z33" s="7">
        <f t="shared" si="8"/>
        <v>0.90909090909090906</v>
      </c>
      <c r="AA33">
        <f t="shared" si="9"/>
        <v>1.5</v>
      </c>
      <c r="AB33" s="8">
        <f t="shared" si="10"/>
        <v>0.1875</v>
      </c>
    </row>
    <row r="34" spans="1:28" ht="28.8" x14ac:dyDescent="0.3">
      <c r="A34" s="2" t="s">
        <v>124</v>
      </c>
      <c r="B34" s="2">
        <v>15000</v>
      </c>
      <c r="C34" s="2" t="s">
        <v>30</v>
      </c>
      <c r="D34" s="2" t="s">
        <v>31</v>
      </c>
      <c r="E34" s="2" t="s">
        <v>20</v>
      </c>
      <c r="F34" s="3">
        <v>46159.333333333336</v>
      </c>
      <c r="G34" s="3">
        <v>46159.416666666664</v>
      </c>
      <c r="H34" s="2">
        <v>2</v>
      </c>
      <c r="I34" s="2" t="s">
        <v>125</v>
      </c>
      <c r="J34" s="2" t="s">
        <v>126</v>
      </c>
      <c r="K34" s="2">
        <v>8</v>
      </c>
      <c r="L34" s="2">
        <v>6</v>
      </c>
      <c r="M34" s="2">
        <v>500</v>
      </c>
      <c r="N34" s="2">
        <v>460</v>
      </c>
      <c r="O34" s="2">
        <v>1500</v>
      </c>
      <c r="P34" s="2">
        <v>2500</v>
      </c>
      <c r="Q34" s="2">
        <v>3000</v>
      </c>
      <c r="R34" s="2">
        <f t="shared" si="0"/>
        <v>6</v>
      </c>
      <c r="S34" s="7">
        <f t="shared" si="1"/>
        <v>0.75</v>
      </c>
      <c r="T34" s="7">
        <f t="shared" si="2"/>
        <v>0.76666666666666672</v>
      </c>
      <c r="U34" s="7">
        <f t="shared" si="3"/>
        <v>0.92</v>
      </c>
      <c r="V34" s="7">
        <f t="shared" si="4"/>
        <v>0.52900000000000014</v>
      </c>
      <c r="W34">
        <f t="shared" si="5"/>
        <v>40</v>
      </c>
      <c r="X34">
        <f t="shared" si="6"/>
        <v>3000</v>
      </c>
      <c r="Y34">
        <f t="shared" si="7"/>
        <v>500</v>
      </c>
      <c r="Z34" s="7">
        <f t="shared" si="8"/>
        <v>0.92</v>
      </c>
      <c r="AA34">
        <f t="shared" si="9"/>
        <v>2</v>
      </c>
      <c r="AB34" s="8">
        <f t="shared" si="10"/>
        <v>0.25</v>
      </c>
    </row>
    <row r="35" spans="1:28" ht="28.8" x14ac:dyDescent="0.3">
      <c r="A35" s="2" t="s">
        <v>127</v>
      </c>
      <c r="B35" s="2">
        <v>5000</v>
      </c>
      <c r="C35" s="2" t="s">
        <v>18</v>
      </c>
      <c r="D35" s="2" t="s">
        <v>19</v>
      </c>
      <c r="E35" s="2" t="s">
        <v>26</v>
      </c>
      <c r="F35" s="3">
        <v>46159.625</v>
      </c>
      <c r="G35" s="3">
        <v>46159.666666666664</v>
      </c>
      <c r="H35" s="2">
        <v>1</v>
      </c>
      <c r="I35" s="2" t="s">
        <v>128</v>
      </c>
      <c r="J35" s="2" t="s">
        <v>129</v>
      </c>
      <c r="K35" s="2">
        <v>7</v>
      </c>
      <c r="L35" s="2">
        <v>6.5</v>
      </c>
      <c r="M35" s="2">
        <v>480</v>
      </c>
      <c r="N35" s="2">
        <v>460</v>
      </c>
      <c r="O35" s="2">
        <v>1300</v>
      </c>
      <c r="P35" s="2">
        <v>1800</v>
      </c>
      <c r="Q35" s="2">
        <v>1300</v>
      </c>
      <c r="R35" s="2">
        <f t="shared" si="0"/>
        <v>6</v>
      </c>
      <c r="S35" s="7">
        <f t="shared" si="1"/>
        <v>0.8571428571428571</v>
      </c>
      <c r="T35" s="7">
        <f t="shared" si="2"/>
        <v>0.76666666666666672</v>
      </c>
      <c r="U35" s="7">
        <f t="shared" si="3"/>
        <v>0.95833333333333337</v>
      </c>
      <c r="V35" s="7">
        <f t="shared" si="4"/>
        <v>0.62976190476190474</v>
      </c>
      <c r="W35">
        <f t="shared" si="5"/>
        <v>20</v>
      </c>
      <c r="X35">
        <f t="shared" si="6"/>
        <v>1300</v>
      </c>
      <c r="Y35">
        <f t="shared" si="7"/>
        <v>-500</v>
      </c>
      <c r="Z35" s="7">
        <f t="shared" si="8"/>
        <v>0.95833333333333337</v>
      </c>
      <c r="AA35">
        <f t="shared" si="9"/>
        <v>0.5</v>
      </c>
      <c r="AB35" s="8">
        <f t="shared" si="10"/>
        <v>0.14285714285714285</v>
      </c>
    </row>
    <row r="36" spans="1:28" ht="28.8" x14ac:dyDescent="0.3">
      <c r="A36" s="2" t="s">
        <v>130</v>
      </c>
      <c r="B36" s="2">
        <v>11000</v>
      </c>
      <c r="C36" s="2" t="s">
        <v>24</v>
      </c>
      <c r="D36" s="2" t="s">
        <v>25</v>
      </c>
      <c r="E36" s="2" t="s">
        <v>32</v>
      </c>
      <c r="F36" s="3">
        <v>46160.375</v>
      </c>
      <c r="G36" s="3">
        <v>46160.479166666664</v>
      </c>
      <c r="H36" s="2">
        <v>2.5</v>
      </c>
      <c r="I36" s="2" t="s">
        <v>131</v>
      </c>
      <c r="J36" s="2" t="s">
        <v>132</v>
      </c>
      <c r="K36" s="2">
        <v>9</v>
      </c>
      <c r="L36" s="2">
        <v>6.5</v>
      </c>
      <c r="M36" s="2">
        <v>700</v>
      </c>
      <c r="N36" s="2">
        <v>620</v>
      </c>
      <c r="O36" s="2">
        <v>1600</v>
      </c>
      <c r="P36" s="2">
        <v>3000</v>
      </c>
      <c r="Q36" s="2">
        <v>4000</v>
      </c>
      <c r="R36" s="2">
        <f t="shared" si="0"/>
        <v>6.5</v>
      </c>
      <c r="S36" s="7">
        <f t="shared" si="1"/>
        <v>0.72222222222222221</v>
      </c>
      <c r="T36" s="7">
        <f t="shared" si="2"/>
        <v>0.9538461538461539</v>
      </c>
      <c r="U36" s="7">
        <f t="shared" si="3"/>
        <v>0.88571428571428568</v>
      </c>
      <c r="V36" s="7">
        <f t="shared" si="4"/>
        <v>0.61015873015873012</v>
      </c>
      <c r="W36">
        <f t="shared" si="5"/>
        <v>80</v>
      </c>
      <c r="X36">
        <f t="shared" si="6"/>
        <v>4000</v>
      </c>
      <c r="Y36">
        <f t="shared" si="7"/>
        <v>1000</v>
      </c>
      <c r="Z36" s="7">
        <f t="shared" si="8"/>
        <v>0.88571428571428568</v>
      </c>
      <c r="AA36">
        <f t="shared" si="9"/>
        <v>2.5</v>
      </c>
      <c r="AB36" s="8">
        <f t="shared" si="10"/>
        <v>0.27777777777777779</v>
      </c>
    </row>
    <row r="37" spans="1:28" ht="28.8" x14ac:dyDescent="0.3">
      <c r="A37" s="2" t="s">
        <v>133</v>
      </c>
      <c r="B37" s="2">
        <v>9000</v>
      </c>
      <c r="C37" s="2" t="s">
        <v>30</v>
      </c>
      <c r="D37" s="2" t="s">
        <v>31</v>
      </c>
      <c r="E37" s="2" t="s">
        <v>36</v>
      </c>
      <c r="F37" s="3">
        <v>46160.5</v>
      </c>
      <c r="G37" s="3">
        <v>46160.5625</v>
      </c>
      <c r="H37" s="2">
        <v>1.5</v>
      </c>
      <c r="I37" s="2" t="s">
        <v>134</v>
      </c>
      <c r="J37" s="2" t="s">
        <v>135</v>
      </c>
      <c r="K37" s="2">
        <v>8</v>
      </c>
      <c r="L37" s="2">
        <v>6.5</v>
      </c>
      <c r="M37" s="2">
        <v>520</v>
      </c>
      <c r="N37" s="2">
        <v>480</v>
      </c>
      <c r="O37" s="2">
        <v>1400</v>
      </c>
      <c r="P37" s="2">
        <v>2000</v>
      </c>
      <c r="Q37" s="2">
        <v>2100</v>
      </c>
      <c r="R37" s="2">
        <f t="shared" si="0"/>
        <v>6.5</v>
      </c>
      <c r="S37" s="7">
        <f t="shared" si="1"/>
        <v>0.8125</v>
      </c>
      <c r="T37" s="7">
        <f t="shared" si="2"/>
        <v>0.73846153846153839</v>
      </c>
      <c r="U37" s="7">
        <f t="shared" si="3"/>
        <v>0.92307692307692313</v>
      </c>
      <c r="V37" s="7">
        <f t="shared" si="4"/>
        <v>0.55384615384615388</v>
      </c>
      <c r="W37">
        <f t="shared" si="5"/>
        <v>40</v>
      </c>
      <c r="X37">
        <f t="shared" si="6"/>
        <v>2100</v>
      </c>
      <c r="Y37">
        <f t="shared" si="7"/>
        <v>100</v>
      </c>
      <c r="Z37" s="7">
        <f t="shared" si="8"/>
        <v>0.92307692307692313</v>
      </c>
      <c r="AA37">
        <f t="shared" si="9"/>
        <v>1.5</v>
      </c>
      <c r="AB37" s="8">
        <f t="shared" si="10"/>
        <v>0.1875</v>
      </c>
    </row>
    <row r="38" spans="1:28" ht="28.8" x14ac:dyDescent="0.3">
      <c r="A38" s="2" t="s">
        <v>136</v>
      </c>
      <c r="B38" s="2">
        <v>7000</v>
      </c>
      <c r="C38" s="2" t="s">
        <v>18</v>
      </c>
      <c r="D38" s="2" t="s">
        <v>19</v>
      </c>
      <c r="E38" s="2" t="s">
        <v>20</v>
      </c>
      <c r="F38" s="3">
        <v>46161.354166666664</v>
      </c>
      <c r="G38" s="3">
        <v>46161.416666666664</v>
      </c>
      <c r="H38" s="2">
        <v>1.5</v>
      </c>
      <c r="I38" s="2" t="s">
        <v>137</v>
      </c>
      <c r="J38" s="2" t="s">
        <v>138</v>
      </c>
      <c r="K38" s="2">
        <v>8</v>
      </c>
      <c r="L38" s="2">
        <v>6.5</v>
      </c>
      <c r="M38" s="2">
        <v>600</v>
      </c>
      <c r="N38" s="2">
        <v>560</v>
      </c>
      <c r="O38" s="2">
        <v>1500</v>
      </c>
      <c r="P38" s="2">
        <v>2000</v>
      </c>
      <c r="Q38" s="2">
        <v>2250</v>
      </c>
      <c r="R38" s="2">
        <f t="shared" si="0"/>
        <v>6.5</v>
      </c>
      <c r="S38" s="7">
        <f t="shared" si="1"/>
        <v>0.8125</v>
      </c>
      <c r="T38" s="7">
        <f t="shared" si="2"/>
        <v>0.86153846153846159</v>
      </c>
      <c r="U38" s="7">
        <f t="shared" si="3"/>
        <v>0.93333333333333335</v>
      </c>
      <c r="V38" s="7">
        <f t="shared" si="4"/>
        <v>0.65333333333333343</v>
      </c>
      <c r="W38">
        <f t="shared" si="5"/>
        <v>40</v>
      </c>
      <c r="X38">
        <f t="shared" si="6"/>
        <v>2250</v>
      </c>
      <c r="Y38">
        <f t="shared" si="7"/>
        <v>250</v>
      </c>
      <c r="Z38" s="7">
        <f t="shared" si="8"/>
        <v>0.93333333333333335</v>
      </c>
      <c r="AA38">
        <f t="shared" si="9"/>
        <v>1.5</v>
      </c>
      <c r="AB38" s="8">
        <f t="shared" si="10"/>
        <v>0.1875</v>
      </c>
    </row>
    <row r="39" spans="1:28" ht="28.8" x14ac:dyDescent="0.3">
      <c r="A39" s="2" t="s">
        <v>139</v>
      </c>
      <c r="B39" s="2">
        <v>13000</v>
      </c>
      <c r="C39" s="2" t="s">
        <v>24</v>
      </c>
      <c r="D39" s="2" t="s">
        <v>25</v>
      </c>
      <c r="E39" s="2" t="s">
        <v>26</v>
      </c>
      <c r="F39" s="3">
        <v>46161.583333333336</v>
      </c>
      <c r="G39" s="3">
        <v>46161.625</v>
      </c>
      <c r="H39" s="2">
        <v>1</v>
      </c>
      <c r="I39" s="2" t="s">
        <v>140</v>
      </c>
      <c r="J39" s="2" t="s">
        <v>141</v>
      </c>
      <c r="K39" s="2">
        <v>8</v>
      </c>
      <c r="L39" s="2">
        <v>7</v>
      </c>
      <c r="M39" s="2">
        <v>650</v>
      </c>
      <c r="N39" s="2">
        <v>630</v>
      </c>
      <c r="O39" s="2">
        <v>1400</v>
      </c>
      <c r="P39" s="2">
        <v>1800</v>
      </c>
      <c r="Q39" s="2">
        <v>1400</v>
      </c>
      <c r="R39" s="2">
        <f t="shared" si="0"/>
        <v>7</v>
      </c>
      <c r="S39" s="7">
        <f t="shared" si="1"/>
        <v>0.875</v>
      </c>
      <c r="T39" s="7">
        <f t="shared" si="2"/>
        <v>0.9</v>
      </c>
      <c r="U39" s="7">
        <f t="shared" si="3"/>
        <v>0.96923076923076923</v>
      </c>
      <c r="V39" s="7">
        <f t="shared" si="4"/>
        <v>0.7632692307692307</v>
      </c>
      <c r="W39">
        <f t="shared" si="5"/>
        <v>20</v>
      </c>
      <c r="X39">
        <f t="shared" si="6"/>
        <v>1400</v>
      </c>
      <c r="Y39">
        <f t="shared" si="7"/>
        <v>-400</v>
      </c>
      <c r="Z39" s="7">
        <f t="shared" si="8"/>
        <v>0.96923076923076923</v>
      </c>
      <c r="AA39">
        <f t="shared" si="9"/>
        <v>1</v>
      </c>
      <c r="AB39" s="8">
        <f t="shared" si="10"/>
        <v>0.125</v>
      </c>
    </row>
    <row r="40" spans="1:28" ht="28.8" x14ac:dyDescent="0.3">
      <c r="A40" s="2" t="s">
        <v>142</v>
      </c>
      <c r="B40" s="2">
        <v>6000</v>
      </c>
      <c r="C40" s="2" t="s">
        <v>30</v>
      </c>
      <c r="D40" s="2" t="s">
        <v>31</v>
      </c>
      <c r="E40" s="2" t="s">
        <v>32</v>
      </c>
      <c r="F40" s="3">
        <v>46162.375</v>
      </c>
      <c r="G40" s="3">
        <v>46162.458333333336</v>
      </c>
      <c r="H40" s="2">
        <v>2</v>
      </c>
      <c r="I40" s="2" t="s">
        <v>143</v>
      </c>
      <c r="J40" s="2" t="s">
        <v>144</v>
      </c>
      <c r="K40" s="2">
        <v>9</v>
      </c>
      <c r="L40" s="2">
        <v>7</v>
      </c>
      <c r="M40" s="2">
        <v>700</v>
      </c>
      <c r="N40" s="2">
        <v>660</v>
      </c>
      <c r="O40" s="2">
        <v>1500</v>
      </c>
      <c r="P40" s="2">
        <v>2500</v>
      </c>
      <c r="Q40" s="2">
        <v>3000</v>
      </c>
      <c r="R40" s="2">
        <f t="shared" si="0"/>
        <v>7</v>
      </c>
      <c r="S40" s="7">
        <f t="shared" si="1"/>
        <v>0.77777777777777779</v>
      </c>
      <c r="T40" s="7">
        <f t="shared" si="2"/>
        <v>0.94285714285714295</v>
      </c>
      <c r="U40" s="7">
        <f t="shared" si="3"/>
        <v>0.94285714285714284</v>
      </c>
      <c r="V40" s="7">
        <f t="shared" si="4"/>
        <v>0.6914285714285715</v>
      </c>
      <c r="W40">
        <f t="shared" si="5"/>
        <v>40</v>
      </c>
      <c r="X40">
        <f t="shared" si="6"/>
        <v>3000</v>
      </c>
      <c r="Y40">
        <f t="shared" si="7"/>
        <v>500</v>
      </c>
      <c r="Z40" s="7">
        <f t="shared" si="8"/>
        <v>0.94285714285714284</v>
      </c>
      <c r="AA40">
        <f t="shared" si="9"/>
        <v>2</v>
      </c>
      <c r="AB40" s="8">
        <f t="shared" si="10"/>
        <v>0.22222222222222221</v>
      </c>
    </row>
    <row r="41" spans="1:28" ht="28.8" x14ac:dyDescent="0.3">
      <c r="A41" s="2" t="s">
        <v>145</v>
      </c>
      <c r="B41" s="2">
        <v>10000</v>
      </c>
      <c r="C41" s="2" t="s">
        <v>18</v>
      </c>
      <c r="D41" s="2" t="s">
        <v>19</v>
      </c>
      <c r="E41" s="2" t="s">
        <v>36</v>
      </c>
      <c r="F41" s="3">
        <v>46162.541666666664</v>
      </c>
      <c r="G41" s="3">
        <v>46162.625</v>
      </c>
      <c r="H41" s="2">
        <v>2</v>
      </c>
      <c r="I41" s="2" t="s">
        <v>147</v>
      </c>
      <c r="J41" s="2" t="s">
        <v>148</v>
      </c>
      <c r="K41" s="2">
        <v>8</v>
      </c>
      <c r="L41" s="2">
        <v>6</v>
      </c>
      <c r="M41" s="2">
        <v>500</v>
      </c>
      <c r="N41" s="2">
        <v>470</v>
      </c>
      <c r="O41" s="2">
        <v>1600</v>
      </c>
      <c r="P41" s="2">
        <v>2500</v>
      </c>
      <c r="Q41" s="2">
        <v>3200</v>
      </c>
      <c r="R41" s="2">
        <f t="shared" si="0"/>
        <v>6</v>
      </c>
      <c r="S41" s="7">
        <f t="shared" si="1"/>
        <v>0.75</v>
      </c>
      <c r="T41" s="7">
        <f t="shared" si="2"/>
        <v>0.78333333333333333</v>
      </c>
      <c r="U41" s="7">
        <f t="shared" si="3"/>
        <v>0.94</v>
      </c>
      <c r="V41" s="7">
        <f t="shared" si="4"/>
        <v>0.55225000000000002</v>
      </c>
      <c r="W41">
        <f t="shared" si="5"/>
        <v>30</v>
      </c>
      <c r="X41">
        <f t="shared" si="6"/>
        <v>3200</v>
      </c>
      <c r="Y41">
        <f t="shared" si="7"/>
        <v>700</v>
      </c>
      <c r="Z41" s="7">
        <f t="shared" si="8"/>
        <v>0.94</v>
      </c>
      <c r="AA41">
        <f t="shared" si="9"/>
        <v>2</v>
      </c>
      <c r="AB41" s="8">
        <f t="shared" si="10"/>
        <v>0.25</v>
      </c>
    </row>
    <row r="42" spans="1:28" ht="28.8" x14ac:dyDescent="0.3">
      <c r="A42" s="2" t="s">
        <v>149</v>
      </c>
      <c r="B42" s="2">
        <v>12000</v>
      </c>
      <c r="C42" s="2" t="s">
        <v>24</v>
      </c>
      <c r="D42" s="2" t="s">
        <v>25</v>
      </c>
      <c r="E42" s="2" t="s">
        <v>20</v>
      </c>
      <c r="F42" s="3">
        <v>46163.333333333336</v>
      </c>
      <c r="G42" s="3">
        <v>46163.395833333336</v>
      </c>
      <c r="H42" s="2">
        <v>1.5</v>
      </c>
      <c r="I42" s="2" t="s">
        <v>150</v>
      </c>
      <c r="J42" s="2" t="s">
        <v>151</v>
      </c>
      <c r="K42" s="2">
        <v>7</v>
      </c>
      <c r="L42" s="2">
        <v>6</v>
      </c>
      <c r="M42" s="2">
        <v>480</v>
      </c>
      <c r="N42" s="2">
        <v>450</v>
      </c>
      <c r="O42" s="2">
        <v>1300</v>
      </c>
      <c r="P42" s="2">
        <v>2000</v>
      </c>
      <c r="Q42" s="2">
        <v>1950</v>
      </c>
      <c r="R42" s="2">
        <f t="shared" si="0"/>
        <v>5.5</v>
      </c>
      <c r="S42" s="7">
        <f t="shared" si="1"/>
        <v>0.7857142857142857</v>
      </c>
      <c r="T42" s="7">
        <f t="shared" si="2"/>
        <v>0.81818181818181823</v>
      </c>
      <c r="U42" s="7">
        <f t="shared" si="3"/>
        <v>0.9375</v>
      </c>
      <c r="V42" s="7">
        <f t="shared" si="4"/>
        <v>0.60267857142857151</v>
      </c>
      <c r="W42">
        <f t="shared" si="5"/>
        <v>30</v>
      </c>
      <c r="X42">
        <f t="shared" si="6"/>
        <v>1950</v>
      </c>
      <c r="Y42">
        <f t="shared" si="7"/>
        <v>-50</v>
      </c>
      <c r="Z42" s="7">
        <f t="shared" si="8"/>
        <v>0.9375</v>
      </c>
      <c r="AA42">
        <f t="shared" si="9"/>
        <v>1</v>
      </c>
      <c r="AB42" s="8">
        <f t="shared" si="10"/>
        <v>0.21428571428571427</v>
      </c>
    </row>
    <row r="43" spans="1:28" ht="28.8" x14ac:dyDescent="0.3">
      <c r="A43" s="2" t="s">
        <v>152</v>
      </c>
      <c r="B43" s="2">
        <v>8000</v>
      </c>
      <c r="C43" s="2" t="s">
        <v>30</v>
      </c>
      <c r="D43" s="2" t="s">
        <v>31</v>
      </c>
      <c r="E43" s="2" t="s">
        <v>26</v>
      </c>
      <c r="F43" s="3">
        <v>46163.583333333336</v>
      </c>
      <c r="G43" s="3">
        <v>46163.625</v>
      </c>
      <c r="H43" s="2">
        <v>1</v>
      </c>
      <c r="I43" s="2" t="s">
        <v>153</v>
      </c>
      <c r="J43" s="2" t="s">
        <v>154</v>
      </c>
      <c r="K43" s="2">
        <v>8</v>
      </c>
      <c r="L43" s="2">
        <v>7</v>
      </c>
      <c r="M43" s="2">
        <v>600</v>
      </c>
      <c r="N43" s="2">
        <v>580</v>
      </c>
      <c r="O43" s="2">
        <v>1400</v>
      </c>
      <c r="P43" s="2">
        <v>1800</v>
      </c>
      <c r="Q43" s="2">
        <v>1400</v>
      </c>
      <c r="R43" s="2">
        <f t="shared" si="0"/>
        <v>7</v>
      </c>
      <c r="S43" s="7">
        <f t="shared" si="1"/>
        <v>0.875</v>
      </c>
      <c r="T43" s="7">
        <f t="shared" si="2"/>
        <v>0.82857142857142851</v>
      </c>
      <c r="U43" s="7">
        <f t="shared" si="3"/>
        <v>0.96666666666666667</v>
      </c>
      <c r="V43" s="7">
        <f t="shared" si="4"/>
        <v>0.70083333333333331</v>
      </c>
      <c r="W43">
        <f t="shared" si="5"/>
        <v>20</v>
      </c>
      <c r="X43">
        <f t="shared" si="6"/>
        <v>1400</v>
      </c>
      <c r="Y43">
        <f t="shared" si="7"/>
        <v>-400</v>
      </c>
      <c r="Z43" s="7">
        <f t="shared" si="8"/>
        <v>0.96666666666666667</v>
      </c>
      <c r="AA43">
        <f t="shared" si="9"/>
        <v>1</v>
      </c>
      <c r="AB43" s="8">
        <f t="shared" si="10"/>
        <v>0.125</v>
      </c>
    </row>
    <row r="44" spans="1:28" ht="28.8" x14ac:dyDescent="0.3">
      <c r="A44" s="2" t="s">
        <v>155</v>
      </c>
      <c r="B44" s="2">
        <v>15000</v>
      </c>
      <c r="C44" s="2" t="s">
        <v>18</v>
      </c>
      <c r="D44" s="2" t="s">
        <v>19</v>
      </c>
      <c r="E44" s="2" t="s">
        <v>32</v>
      </c>
      <c r="F44" s="3">
        <v>46164.375</v>
      </c>
      <c r="G44" s="3">
        <v>46164.458333333336</v>
      </c>
      <c r="H44" s="2">
        <v>2</v>
      </c>
      <c r="I44" s="2" t="s">
        <v>156</v>
      </c>
      <c r="J44" s="2" t="s">
        <v>157</v>
      </c>
      <c r="K44" s="2">
        <v>9</v>
      </c>
      <c r="L44" s="2">
        <v>7</v>
      </c>
      <c r="M44" s="2">
        <v>700</v>
      </c>
      <c r="N44" s="2">
        <v>650</v>
      </c>
      <c r="O44" s="2">
        <v>1500</v>
      </c>
      <c r="P44" s="2">
        <v>2500</v>
      </c>
      <c r="Q44" s="2">
        <v>3000</v>
      </c>
      <c r="R44" s="2">
        <f t="shared" si="0"/>
        <v>7</v>
      </c>
      <c r="S44" s="7">
        <f t="shared" si="1"/>
        <v>0.77777777777777779</v>
      </c>
      <c r="T44" s="7">
        <f t="shared" si="2"/>
        <v>0.9285714285714286</v>
      </c>
      <c r="U44" s="7">
        <f t="shared" si="3"/>
        <v>0.9285714285714286</v>
      </c>
      <c r="V44" s="7">
        <f t="shared" si="4"/>
        <v>0.67063492063492069</v>
      </c>
      <c r="W44">
        <f t="shared" si="5"/>
        <v>50</v>
      </c>
      <c r="X44">
        <f t="shared" si="6"/>
        <v>3000</v>
      </c>
      <c r="Y44">
        <f t="shared" si="7"/>
        <v>500</v>
      </c>
      <c r="Z44" s="7">
        <f t="shared" si="8"/>
        <v>0.9285714285714286</v>
      </c>
      <c r="AA44">
        <f t="shared" si="9"/>
        <v>2</v>
      </c>
      <c r="AB44" s="8">
        <f t="shared" si="10"/>
        <v>0.22222222222222221</v>
      </c>
    </row>
    <row r="45" spans="1:28" ht="28.8" x14ac:dyDescent="0.3">
      <c r="A45" s="2" t="s">
        <v>158</v>
      </c>
      <c r="B45" s="2">
        <v>5000</v>
      </c>
      <c r="C45" s="2" t="s">
        <v>24</v>
      </c>
      <c r="D45" s="2" t="s">
        <v>25</v>
      </c>
      <c r="E45" s="2" t="s">
        <v>36</v>
      </c>
      <c r="F45" s="3">
        <v>46164.541666666664</v>
      </c>
      <c r="G45" s="3">
        <v>46164.604166666664</v>
      </c>
      <c r="H45" s="2">
        <v>1.5</v>
      </c>
      <c r="I45" s="2" t="s">
        <v>159</v>
      </c>
      <c r="J45" s="2" t="s">
        <v>160</v>
      </c>
      <c r="K45" s="2">
        <v>8</v>
      </c>
      <c r="L45" s="2">
        <v>6.5</v>
      </c>
      <c r="M45" s="2">
        <v>550</v>
      </c>
      <c r="N45" s="2">
        <v>500</v>
      </c>
      <c r="O45" s="2">
        <v>1600</v>
      </c>
      <c r="P45" s="2">
        <v>2000</v>
      </c>
      <c r="Q45" s="2">
        <v>2400</v>
      </c>
      <c r="R45" s="2">
        <f t="shared" si="0"/>
        <v>6.5</v>
      </c>
      <c r="S45" s="7">
        <f t="shared" si="1"/>
        <v>0.8125</v>
      </c>
      <c r="T45" s="7">
        <f t="shared" si="2"/>
        <v>0.76923076923076927</v>
      </c>
      <c r="U45" s="7">
        <f t="shared" si="3"/>
        <v>0.90909090909090906</v>
      </c>
      <c r="V45" s="7">
        <f t="shared" si="4"/>
        <v>0.56818181818181812</v>
      </c>
      <c r="W45">
        <f t="shared" si="5"/>
        <v>50</v>
      </c>
      <c r="X45">
        <f t="shared" si="6"/>
        <v>2400</v>
      </c>
      <c r="Y45">
        <f t="shared" si="7"/>
        <v>400</v>
      </c>
      <c r="Z45" s="7">
        <f t="shared" si="8"/>
        <v>0.90909090909090906</v>
      </c>
      <c r="AA45">
        <f t="shared" si="9"/>
        <v>1.5</v>
      </c>
      <c r="AB45" s="8">
        <f t="shared" si="10"/>
        <v>0.1875</v>
      </c>
    </row>
    <row r="46" spans="1:28" ht="28.8" x14ac:dyDescent="0.3">
      <c r="A46" s="2" t="s">
        <v>161</v>
      </c>
      <c r="B46" s="2">
        <v>11000</v>
      </c>
      <c r="C46" s="2" t="s">
        <v>30</v>
      </c>
      <c r="D46" s="2" t="s">
        <v>31</v>
      </c>
      <c r="E46" s="2" t="s">
        <v>20</v>
      </c>
      <c r="F46" s="3">
        <v>46165.333333333336</v>
      </c>
      <c r="G46" s="3">
        <v>46165.416666666664</v>
      </c>
      <c r="H46" s="2">
        <v>2</v>
      </c>
      <c r="I46" s="2" t="s">
        <v>162</v>
      </c>
      <c r="J46" s="2" t="s">
        <v>163</v>
      </c>
      <c r="K46" s="2">
        <v>8</v>
      </c>
      <c r="L46" s="2">
        <v>6</v>
      </c>
      <c r="M46" s="2">
        <v>500</v>
      </c>
      <c r="N46" s="2">
        <v>460</v>
      </c>
      <c r="O46" s="2">
        <v>1500</v>
      </c>
      <c r="P46" s="2">
        <v>2500</v>
      </c>
      <c r="Q46" s="2">
        <v>3000</v>
      </c>
      <c r="R46" s="2">
        <f t="shared" si="0"/>
        <v>6</v>
      </c>
      <c r="S46" s="7">
        <f t="shared" si="1"/>
        <v>0.75</v>
      </c>
      <c r="T46" s="7">
        <f t="shared" si="2"/>
        <v>0.76666666666666672</v>
      </c>
      <c r="U46" s="7">
        <f t="shared" si="3"/>
        <v>0.92</v>
      </c>
      <c r="V46" s="7">
        <f t="shared" si="4"/>
        <v>0.52900000000000014</v>
      </c>
      <c r="W46">
        <f t="shared" si="5"/>
        <v>40</v>
      </c>
      <c r="X46">
        <f t="shared" si="6"/>
        <v>3000</v>
      </c>
      <c r="Y46">
        <f t="shared" si="7"/>
        <v>500</v>
      </c>
      <c r="Z46" s="7">
        <f t="shared" si="8"/>
        <v>0.92</v>
      </c>
      <c r="AA46">
        <f t="shared" si="9"/>
        <v>2</v>
      </c>
      <c r="AB46" s="8">
        <f t="shared" si="10"/>
        <v>0.25</v>
      </c>
    </row>
    <row r="47" spans="1:28" ht="28.8" x14ac:dyDescent="0.3">
      <c r="A47" s="2" t="s">
        <v>164</v>
      </c>
      <c r="B47" s="2">
        <v>9000</v>
      </c>
      <c r="C47" s="2" t="s">
        <v>18</v>
      </c>
      <c r="D47" s="2" t="s">
        <v>19</v>
      </c>
      <c r="E47" s="2" t="s">
        <v>26</v>
      </c>
      <c r="F47" s="3">
        <v>46165.625</v>
      </c>
      <c r="G47" s="3">
        <v>46165.666666666664</v>
      </c>
      <c r="H47" s="2">
        <v>1</v>
      </c>
      <c r="I47" s="2" t="s">
        <v>165</v>
      </c>
      <c r="J47" s="2" t="s">
        <v>166</v>
      </c>
      <c r="K47" s="2">
        <v>7</v>
      </c>
      <c r="L47" s="2">
        <v>6.5</v>
      </c>
      <c r="M47" s="2">
        <v>480</v>
      </c>
      <c r="N47" s="2">
        <v>460</v>
      </c>
      <c r="O47" s="2">
        <v>1300</v>
      </c>
      <c r="P47" s="2">
        <v>1800</v>
      </c>
      <c r="Q47" s="2">
        <v>1300</v>
      </c>
      <c r="R47" s="2">
        <f t="shared" si="0"/>
        <v>6</v>
      </c>
      <c r="S47" s="7">
        <f t="shared" si="1"/>
        <v>0.8571428571428571</v>
      </c>
      <c r="T47" s="7">
        <f t="shared" si="2"/>
        <v>0.76666666666666672</v>
      </c>
      <c r="U47" s="7">
        <f t="shared" si="3"/>
        <v>0.95833333333333337</v>
      </c>
      <c r="V47" s="7">
        <f t="shared" si="4"/>
        <v>0.62976190476190474</v>
      </c>
      <c r="W47">
        <f t="shared" si="5"/>
        <v>20</v>
      </c>
      <c r="X47">
        <f t="shared" si="6"/>
        <v>1300</v>
      </c>
      <c r="Y47">
        <f t="shared" si="7"/>
        <v>-500</v>
      </c>
      <c r="Z47" s="7">
        <f t="shared" si="8"/>
        <v>0.95833333333333337</v>
      </c>
      <c r="AA47">
        <f t="shared" si="9"/>
        <v>0.5</v>
      </c>
      <c r="AB47" s="8">
        <f t="shared" si="10"/>
        <v>0.14285714285714285</v>
      </c>
    </row>
    <row r="48" spans="1:28" ht="28.8" x14ac:dyDescent="0.3">
      <c r="A48" s="2" t="s">
        <v>167</v>
      </c>
      <c r="B48" s="2">
        <v>7000</v>
      </c>
      <c r="C48" s="2" t="s">
        <v>24</v>
      </c>
      <c r="D48" s="2" t="s">
        <v>25</v>
      </c>
      <c r="E48" s="2" t="s">
        <v>32</v>
      </c>
      <c r="F48" s="3">
        <v>46166.375</v>
      </c>
      <c r="G48" s="3">
        <v>46166.479166666664</v>
      </c>
      <c r="H48" s="2">
        <v>2.5</v>
      </c>
      <c r="I48" s="2" t="s">
        <v>168</v>
      </c>
      <c r="J48" s="2" t="s">
        <v>169</v>
      </c>
      <c r="K48" s="2">
        <v>9</v>
      </c>
      <c r="L48" s="2">
        <v>6.5</v>
      </c>
      <c r="M48" s="2">
        <v>700</v>
      </c>
      <c r="N48" s="2">
        <v>620</v>
      </c>
      <c r="O48" s="2">
        <v>1600</v>
      </c>
      <c r="P48" s="2">
        <v>3000</v>
      </c>
      <c r="Q48" s="2">
        <v>4000</v>
      </c>
      <c r="R48" s="2">
        <f t="shared" si="0"/>
        <v>6.5</v>
      </c>
      <c r="S48" s="7">
        <f t="shared" si="1"/>
        <v>0.72222222222222221</v>
      </c>
      <c r="T48" s="7">
        <f t="shared" si="2"/>
        <v>0.9538461538461539</v>
      </c>
      <c r="U48" s="7">
        <f t="shared" si="3"/>
        <v>0.88571428571428568</v>
      </c>
      <c r="V48" s="7">
        <f t="shared" si="4"/>
        <v>0.61015873015873012</v>
      </c>
      <c r="W48">
        <f t="shared" si="5"/>
        <v>80</v>
      </c>
      <c r="X48">
        <f t="shared" si="6"/>
        <v>4000</v>
      </c>
      <c r="Y48">
        <f t="shared" si="7"/>
        <v>1000</v>
      </c>
      <c r="Z48" s="7">
        <f t="shared" si="8"/>
        <v>0.88571428571428568</v>
      </c>
      <c r="AA48">
        <f t="shared" si="9"/>
        <v>2.5</v>
      </c>
      <c r="AB48" s="8">
        <f t="shared" si="10"/>
        <v>0.27777777777777779</v>
      </c>
    </row>
    <row r="49" spans="1:28" ht="28.8" x14ac:dyDescent="0.3">
      <c r="A49" s="2" t="s">
        <v>170</v>
      </c>
      <c r="B49" s="2">
        <v>13000</v>
      </c>
      <c r="C49" s="2" t="s">
        <v>30</v>
      </c>
      <c r="D49" s="2" t="s">
        <v>31</v>
      </c>
      <c r="E49" s="2" t="s">
        <v>36</v>
      </c>
      <c r="F49" s="3">
        <v>46166.5</v>
      </c>
      <c r="G49" s="3">
        <v>46166.5625</v>
      </c>
      <c r="H49" s="2">
        <v>1.5</v>
      </c>
      <c r="I49" s="2" t="s">
        <v>171</v>
      </c>
      <c r="J49" s="2" t="s">
        <v>172</v>
      </c>
      <c r="K49" s="2">
        <v>8</v>
      </c>
      <c r="L49" s="2">
        <v>6.5</v>
      </c>
      <c r="M49" s="2">
        <v>520</v>
      </c>
      <c r="N49" s="2">
        <v>480</v>
      </c>
      <c r="O49" s="2">
        <v>1400</v>
      </c>
      <c r="P49" s="2">
        <v>2000</v>
      </c>
      <c r="Q49" s="2">
        <v>2100</v>
      </c>
      <c r="R49" s="2">
        <f t="shared" si="0"/>
        <v>6.5</v>
      </c>
      <c r="S49" s="7">
        <f t="shared" si="1"/>
        <v>0.8125</v>
      </c>
      <c r="T49" s="7">
        <f t="shared" si="2"/>
        <v>0.73846153846153839</v>
      </c>
      <c r="U49" s="7">
        <f t="shared" si="3"/>
        <v>0.92307692307692313</v>
      </c>
      <c r="V49" s="7">
        <f t="shared" si="4"/>
        <v>0.55384615384615388</v>
      </c>
      <c r="W49">
        <f t="shared" si="5"/>
        <v>40</v>
      </c>
      <c r="X49">
        <f t="shared" si="6"/>
        <v>2100</v>
      </c>
      <c r="Y49">
        <f t="shared" si="7"/>
        <v>100</v>
      </c>
      <c r="Z49" s="7">
        <f t="shared" si="8"/>
        <v>0.92307692307692313</v>
      </c>
      <c r="AA49">
        <f t="shared" si="9"/>
        <v>1.5</v>
      </c>
      <c r="AB49" s="8">
        <f t="shared" si="10"/>
        <v>0.1875</v>
      </c>
    </row>
    <row r="50" spans="1:28" ht="28.8" x14ac:dyDescent="0.3">
      <c r="A50" s="2" t="s">
        <v>173</v>
      </c>
      <c r="B50" s="2">
        <v>6000</v>
      </c>
      <c r="C50" s="2" t="s">
        <v>18</v>
      </c>
      <c r="D50" s="2" t="s">
        <v>19</v>
      </c>
      <c r="E50" s="2" t="s">
        <v>20</v>
      </c>
      <c r="F50" s="3">
        <v>46167.354166666664</v>
      </c>
      <c r="G50" s="3">
        <v>46167.416666666664</v>
      </c>
      <c r="H50" s="2">
        <v>1.5</v>
      </c>
      <c r="I50" s="2" t="s">
        <v>174</v>
      </c>
      <c r="J50" s="2" t="s">
        <v>175</v>
      </c>
      <c r="K50" s="2">
        <v>8</v>
      </c>
      <c r="L50" s="2">
        <v>6.5</v>
      </c>
      <c r="M50" s="2">
        <v>600</v>
      </c>
      <c r="N50" s="2">
        <v>560</v>
      </c>
      <c r="O50" s="2">
        <v>1500</v>
      </c>
      <c r="P50" s="2">
        <v>2000</v>
      </c>
      <c r="Q50" s="2">
        <v>2250</v>
      </c>
      <c r="R50" s="2">
        <f t="shared" si="0"/>
        <v>6.5</v>
      </c>
      <c r="S50" s="7">
        <f t="shared" si="1"/>
        <v>0.8125</v>
      </c>
      <c r="T50" s="7">
        <f t="shared" si="2"/>
        <v>0.86153846153846159</v>
      </c>
      <c r="U50" s="7">
        <f t="shared" si="3"/>
        <v>0.93333333333333335</v>
      </c>
      <c r="V50" s="7">
        <f t="shared" si="4"/>
        <v>0.65333333333333343</v>
      </c>
      <c r="W50">
        <f t="shared" si="5"/>
        <v>40</v>
      </c>
      <c r="X50">
        <f t="shared" si="6"/>
        <v>2250</v>
      </c>
      <c r="Y50">
        <f t="shared" si="7"/>
        <v>250</v>
      </c>
      <c r="Z50" s="7">
        <f t="shared" si="8"/>
        <v>0.93333333333333335</v>
      </c>
      <c r="AA50">
        <f t="shared" si="9"/>
        <v>1.5</v>
      </c>
      <c r="AB50" s="8">
        <f t="shared" si="10"/>
        <v>0.1875</v>
      </c>
    </row>
    <row r="51" spans="1:28" ht="28.8" x14ac:dyDescent="0.3">
      <c r="A51" s="2" t="s">
        <v>176</v>
      </c>
      <c r="B51" s="2">
        <v>10000</v>
      </c>
      <c r="C51" s="2" t="s">
        <v>24</v>
      </c>
      <c r="D51" s="2" t="s">
        <v>25</v>
      </c>
      <c r="E51" s="2" t="s">
        <v>26</v>
      </c>
      <c r="F51" s="3">
        <v>46167.583333333336</v>
      </c>
      <c r="G51" s="3">
        <v>46167.625</v>
      </c>
      <c r="H51" s="2">
        <v>1</v>
      </c>
      <c r="I51" s="2" t="s">
        <v>177</v>
      </c>
      <c r="J51" s="2" t="s">
        <v>178</v>
      </c>
      <c r="K51" s="2">
        <v>8</v>
      </c>
      <c r="L51" s="2">
        <v>7</v>
      </c>
      <c r="M51" s="2">
        <v>650</v>
      </c>
      <c r="N51" s="2">
        <v>630</v>
      </c>
      <c r="O51" s="2">
        <v>1400</v>
      </c>
      <c r="P51" s="2">
        <v>1800</v>
      </c>
      <c r="Q51" s="2">
        <v>1400</v>
      </c>
      <c r="R51" s="2">
        <f t="shared" si="0"/>
        <v>7</v>
      </c>
      <c r="S51" s="7">
        <f t="shared" si="1"/>
        <v>0.875</v>
      </c>
      <c r="T51" s="7">
        <f t="shared" si="2"/>
        <v>0.9</v>
      </c>
      <c r="U51" s="7">
        <f t="shared" si="3"/>
        <v>0.96923076923076923</v>
      </c>
      <c r="V51" s="7">
        <f t="shared" si="4"/>
        <v>0.7632692307692307</v>
      </c>
      <c r="W51">
        <f t="shared" si="5"/>
        <v>20</v>
      </c>
      <c r="X51">
        <f t="shared" si="6"/>
        <v>1400</v>
      </c>
      <c r="Y51">
        <f t="shared" si="7"/>
        <v>-400</v>
      </c>
      <c r="Z51" s="7">
        <f t="shared" si="8"/>
        <v>0.96923076923076923</v>
      </c>
      <c r="AA51">
        <f t="shared" si="9"/>
        <v>1</v>
      </c>
      <c r="AB51" s="8">
        <f t="shared" si="10"/>
        <v>0.125</v>
      </c>
    </row>
    <row r="52" spans="1:28" x14ac:dyDescent="0.3">
      <c r="H52" s="14">
        <f>SUM(H2:H51)</f>
        <v>81.5</v>
      </c>
      <c r="K52" s="14">
        <f>SUM(K2:K51)</f>
        <v>404</v>
      </c>
    </row>
    <row r="56" spans="1:28" x14ac:dyDescent="0.3">
      <c r="A56" t="s">
        <v>203</v>
      </c>
      <c r="B56" t="s">
        <v>204</v>
      </c>
      <c r="C56" s="15" t="s">
        <v>184</v>
      </c>
    </row>
    <row r="57" spans="1:28" x14ac:dyDescent="0.3">
      <c r="A57">
        <v>81.5</v>
      </c>
      <c r="B57">
        <v>404</v>
      </c>
      <c r="C57" s="8">
        <f>(H52/K52)*100%</f>
        <v>0.20173267326732675</v>
      </c>
    </row>
    <row r="58" spans="1:28" x14ac:dyDescent="0.3">
      <c r="H58" s="9" t="s">
        <v>0</v>
      </c>
      <c r="I58" t="s">
        <v>203</v>
      </c>
      <c r="J58" t="s">
        <v>205</v>
      </c>
      <c r="M58" s="9" t="s">
        <v>3</v>
      </c>
      <c r="N58" t="s">
        <v>206</v>
      </c>
      <c r="O58" t="s">
        <v>207</v>
      </c>
      <c r="P58" t="s">
        <v>208</v>
      </c>
    </row>
    <row r="59" spans="1:28" x14ac:dyDescent="0.3">
      <c r="H59" t="s">
        <v>94</v>
      </c>
      <c r="I59">
        <v>2</v>
      </c>
      <c r="J59" s="8">
        <v>0.9285714285714286</v>
      </c>
      <c r="M59" t="s">
        <v>19</v>
      </c>
      <c r="N59">
        <v>36700</v>
      </c>
      <c r="O59">
        <v>39600</v>
      </c>
      <c r="P59">
        <v>2900</v>
      </c>
    </row>
    <row r="60" spans="1:28" x14ac:dyDescent="0.3">
      <c r="A60" t="s">
        <v>209</v>
      </c>
      <c r="B60" t="s">
        <v>210</v>
      </c>
      <c r="C60" t="s">
        <v>211</v>
      </c>
      <c r="H60" t="s">
        <v>155</v>
      </c>
      <c r="I60">
        <v>2</v>
      </c>
      <c r="J60" s="8">
        <v>0.9285714285714286</v>
      </c>
      <c r="M60" t="s">
        <v>25</v>
      </c>
      <c r="N60">
        <v>37500</v>
      </c>
      <c r="O60">
        <v>42200</v>
      </c>
      <c r="P60">
        <v>4700</v>
      </c>
    </row>
    <row r="61" spans="1:28" x14ac:dyDescent="0.3">
      <c r="A61">
        <v>121300</v>
      </c>
      <c r="B61">
        <v>50</v>
      </c>
      <c r="C61">
        <v>2140</v>
      </c>
      <c r="H61" t="s">
        <v>100</v>
      </c>
      <c r="I61">
        <v>2</v>
      </c>
      <c r="J61" s="8">
        <v>0.92</v>
      </c>
      <c r="M61" t="s">
        <v>31</v>
      </c>
      <c r="N61">
        <v>35700</v>
      </c>
      <c r="O61">
        <v>39500</v>
      </c>
      <c r="P61">
        <v>3800</v>
      </c>
    </row>
    <row r="62" spans="1:28" x14ac:dyDescent="0.3">
      <c r="A62" s="17">
        <f>GETPIVOTDATA("Cost of Downtime",$A$60)</f>
        <v>121300</v>
      </c>
      <c r="B62">
        <f>GETPIVOTDATA("IncidentID",$B$60)</f>
        <v>50</v>
      </c>
      <c r="C62">
        <f>GETPIVOTDATA("Lost Units",$C$60)</f>
        <v>2140</v>
      </c>
      <c r="H62" t="s">
        <v>85</v>
      </c>
      <c r="I62">
        <v>2</v>
      </c>
      <c r="J62" s="8">
        <v>0.94</v>
      </c>
      <c r="M62" t="s">
        <v>212</v>
      </c>
      <c r="N62">
        <v>109900</v>
      </c>
      <c r="O62">
        <v>121300</v>
      </c>
      <c r="P62">
        <v>11400</v>
      </c>
    </row>
    <row r="63" spans="1:28" x14ac:dyDescent="0.3">
      <c r="H63" t="s">
        <v>142</v>
      </c>
      <c r="I63">
        <v>2</v>
      </c>
      <c r="J63" s="8">
        <v>0.94285714285714284</v>
      </c>
    </row>
    <row r="64" spans="1:28" x14ac:dyDescent="0.3">
      <c r="H64" t="s">
        <v>29</v>
      </c>
      <c r="I64">
        <v>2.5</v>
      </c>
      <c r="J64" s="8">
        <v>0.82857142857142863</v>
      </c>
    </row>
    <row r="65" spans="2:10" x14ac:dyDescent="0.3">
      <c r="H65" t="s">
        <v>69</v>
      </c>
      <c r="I65">
        <v>2.5</v>
      </c>
      <c r="J65" s="8">
        <v>0.88571428571428568</v>
      </c>
    </row>
    <row r="66" spans="2:10" x14ac:dyDescent="0.3">
      <c r="H66" t="s">
        <v>130</v>
      </c>
      <c r="I66">
        <v>2.5</v>
      </c>
      <c r="J66" s="8">
        <v>0.88571428571428568</v>
      </c>
    </row>
    <row r="67" spans="2:10" x14ac:dyDescent="0.3">
      <c r="H67" t="s">
        <v>167</v>
      </c>
      <c r="I67">
        <v>2.5</v>
      </c>
      <c r="J67" s="8">
        <v>0.88571428571428568</v>
      </c>
    </row>
    <row r="68" spans="2:10" x14ac:dyDescent="0.3">
      <c r="H68" t="s">
        <v>106</v>
      </c>
      <c r="I68">
        <v>2.5</v>
      </c>
      <c r="J68" s="8">
        <v>0.88571428571428568</v>
      </c>
    </row>
    <row r="69" spans="2:10" x14ac:dyDescent="0.3">
      <c r="E69" s="9" t="s">
        <v>3</v>
      </c>
      <c r="F69" t="s">
        <v>203</v>
      </c>
      <c r="H69" t="s">
        <v>48</v>
      </c>
      <c r="I69">
        <v>2.5</v>
      </c>
      <c r="J69" s="8">
        <v>0.84</v>
      </c>
    </row>
    <row r="70" spans="2:10" x14ac:dyDescent="0.3">
      <c r="E70" t="s">
        <v>19</v>
      </c>
      <c r="F70">
        <v>27</v>
      </c>
      <c r="H70" t="s">
        <v>212</v>
      </c>
      <c r="I70">
        <v>25</v>
      </c>
      <c r="J70" s="8">
        <v>0.89740259740259742</v>
      </c>
    </row>
    <row r="71" spans="2:10" x14ac:dyDescent="0.3">
      <c r="E71" t="s">
        <v>25</v>
      </c>
      <c r="F71">
        <v>28</v>
      </c>
    </row>
    <row r="72" spans="2:10" x14ac:dyDescent="0.3">
      <c r="E72" t="s">
        <v>31</v>
      </c>
      <c r="F72">
        <v>26.5</v>
      </c>
    </row>
    <row r="73" spans="2:10" x14ac:dyDescent="0.3">
      <c r="B73" s="9" t="s">
        <v>1</v>
      </c>
      <c r="C73" t="s">
        <v>213</v>
      </c>
      <c r="E73" t="s">
        <v>212</v>
      </c>
      <c r="F73">
        <v>81.5</v>
      </c>
    </row>
    <row r="74" spans="2:10" x14ac:dyDescent="0.3">
      <c r="B74">
        <v>5000</v>
      </c>
      <c r="C74" s="8">
        <v>0.58076479076479082</v>
      </c>
    </row>
    <row r="75" spans="2:10" x14ac:dyDescent="0.3">
      <c r="B75">
        <v>6000</v>
      </c>
      <c r="C75" s="8">
        <v>0.6584404761904763</v>
      </c>
    </row>
    <row r="76" spans="2:10" x14ac:dyDescent="0.3">
      <c r="B76">
        <v>7000</v>
      </c>
      <c r="C76" s="8">
        <v>0.62847374847374848</v>
      </c>
    </row>
    <row r="77" spans="2:10" x14ac:dyDescent="0.3">
      <c r="B77">
        <v>8000</v>
      </c>
      <c r="C77" s="8">
        <v>0.63364772727272711</v>
      </c>
      <c r="E77" s="9" t="s">
        <v>2</v>
      </c>
      <c r="F77" t="s">
        <v>203</v>
      </c>
    </row>
    <row r="78" spans="2:10" x14ac:dyDescent="0.3">
      <c r="B78">
        <v>9000</v>
      </c>
      <c r="C78" s="8">
        <v>0.60881822344322356</v>
      </c>
      <c r="E78" t="s">
        <v>18</v>
      </c>
      <c r="F78">
        <v>27</v>
      </c>
    </row>
    <row r="79" spans="2:10" x14ac:dyDescent="0.3">
      <c r="B79">
        <v>10000</v>
      </c>
      <c r="C79" s="8">
        <v>0.66637435897435893</v>
      </c>
      <c r="E79" t="s">
        <v>24</v>
      </c>
      <c r="F79">
        <v>28</v>
      </c>
    </row>
    <row r="80" spans="2:10" x14ac:dyDescent="0.3">
      <c r="B80">
        <v>11000</v>
      </c>
      <c r="C80" s="8">
        <v>0.56643272283272295</v>
      </c>
      <c r="E80" t="s">
        <v>30</v>
      </c>
      <c r="F80">
        <v>26.5</v>
      </c>
    </row>
    <row r="81" spans="2:16" x14ac:dyDescent="0.3">
      <c r="B81">
        <v>12000</v>
      </c>
      <c r="C81" s="8">
        <v>0.6016841269841271</v>
      </c>
      <c r="E81" t="s">
        <v>212</v>
      </c>
      <c r="F81">
        <v>81.5</v>
      </c>
      <c r="M81" s="9" t="s">
        <v>2</v>
      </c>
      <c r="N81" t="s">
        <v>214</v>
      </c>
      <c r="O81" t="s">
        <v>215</v>
      </c>
      <c r="P81" t="s">
        <v>211</v>
      </c>
    </row>
    <row r="82" spans="2:16" x14ac:dyDescent="0.3">
      <c r="B82">
        <v>13000</v>
      </c>
      <c r="C82" s="8">
        <v>0.6150461538461538</v>
      </c>
      <c r="M82" t="s">
        <v>18</v>
      </c>
      <c r="N82">
        <v>9600</v>
      </c>
      <c r="O82">
        <v>8940</v>
      </c>
      <c r="P82">
        <v>660</v>
      </c>
    </row>
    <row r="83" spans="2:16" x14ac:dyDescent="0.3">
      <c r="B83">
        <v>15000</v>
      </c>
      <c r="C83" s="8">
        <v>0.5866476190476192</v>
      </c>
      <c r="M83" t="s">
        <v>24</v>
      </c>
      <c r="N83">
        <v>9960</v>
      </c>
      <c r="O83">
        <v>9210</v>
      </c>
      <c r="P83">
        <v>750</v>
      </c>
    </row>
    <row r="84" spans="2:16" x14ac:dyDescent="0.3">
      <c r="B84" t="s">
        <v>212</v>
      </c>
      <c r="C84" s="8">
        <v>0.61463299478299516</v>
      </c>
      <c r="M84" t="s">
        <v>30</v>
      </c>
      <c r="N84">
        <v>9400</v>
      </c>
      <c r="O84">
        <v>8670</v>
      </c>
      <c r="P84">
        <v>730</v>
      </c>
    </row>
    <row r="85" spans="2:16" x14ac:dyDescent="0.3">
      <c r="M85" t="s">
        <v>212</v>
      </c>
      <c r="N85">
        <v>28960</v>
      </c>
      <c r="O85">
        <v>26820</v>
      </c>
      <c r="P85">
        <v>2140</v>
      </c>
    </row>
    <row r="86" spans="2:16" x14ac:dyDescent="0.3">
      <c r="B86" s="12" t="s">
        <v>186</v>
      </c>
    </row>
    <row r="87" spans="2:16" x14ac:dyDescent="0.3">
      <c r="B87" s="9" t="s">
        <v>5</v>
      </c>
      <c r="C87" t="s">
        <v>203</v>
      </c>
    </row>
    <row r="88" spans="2:16" x14ac:dyDescent="0.3">
      <c r="B88" s="16">
        <v>46143.333333333336</v>
      </c>
      <c r="C88">
        <v>2</v>
      </c>
    </row>
    <row r="89" spans="2:16" x14ac:dyDescent="0.3">
      <c r="B89" s="16">
        <v>46143.583333333336</v>
      </c>
      <c r="C89">
        <v>1.5</v>
      </c>
    </row>
    <row r="90" spans="2:16" x14ac:dyDescent="0.3">
      <c r="B90" s="16">
        <v>46144.375</v>
      </c>
      <c r="C90">
        <v>2.5</v>
      </c>
    </row>
    <row r="91" spans="2:16" x14ac:dyDescent="0.3">
      <c r="B91" s="16">
        <v>46144.541666666664</v>
      </c>
      <c r="C91">
        <v>1</v>
      </c>
    </row>
    <row r="92" spans="2:16" x14ac:dyDescent="0.3">
      <c r="B92" s="16">
        <v>46145.354166666664</v>
      </c>
      <c r="C92">
        <v>1.5</v>
      </c>
    </row>
    <row r="93" spans="2:16" x14ac:dyDescent="0.3">
      <c r="B93" s="16">
        <v>46145.625</v>
      </c>
      <c r="C93">
        <v>1</v>
      </c>
    </row>
    <row r="94" spans="2:16" x14ac:dyDescent="0.3">
      <c r="B94" s="16">
        <v>46146.375</v>
      </c>
      <c r="C94">
        <v>2</v>
      </c>
    </row>
    <row r="95" spans="2:16" x14ac:dyDescent="0.3">
      <c r="B95" s="16">
        <v>46146.5</v>
      </c>
      <c r="C95">
        <v>2.5</v>
      </c>
    </row>
    <row r="96" spans="2:16" x14ac:dyDescent="0.3">
      <c r="B96" s="16">
        <v>46147.333333333336</v>
      </c>
      <c r="C96">
        <v>1.5</v>
      </c>
    </row>
    <row r="97" spans="2:3" x14ac:dyDescent="0.3">
      <c r="B97" s="16">
        <v>46147.583333333336</v>
      </c>
      <c r="C97">
        <v>1</v>
      </c>
    </row>
    <row r="98" spans="2:3" x14ac:dyDescent="0.3">
      <c r="B98" s="16">
        <v>46148.375</v>
      </c>
      <c r="C98">
        <v>2</v>
      </c>
    </row>
    <row r="99" spans="2:3" x14ac:dyDescent="0.3">
      <c r="B99" s="16">
        <v>46148.541666666664</v>
      </c>
      <c r="C99">
        <v>1.5</v>
      </c>
    </row>
    <row r="100" spans="2:3" x14ac:dyDescent="0.3">
      <c r="B100" s="16">
        <v>46149.333333333336</v>
      </c>
      <c r="C100">
        <v>2</v>
      </c>
    </row>
    <row r="101" spans="2:3" x14ac:dyDescent="0.3">
      <c r="B101" s="16">
        <v>46149.625</v>
      </c>
      <c r="C101">
        <v>1</v>
      </c>
    </row>
    <row r="102" spans="2:3" x14ac:dyDescent="0.3">
      <c r="B102" s="16">
        <v>46150.375</v>
      </c>
      <c r="C102">
        <v>2.5</v>
      </c>
    </row>
    <row r="103" spans="2:3" x14ac:dyDescent="0.3">
      <c r="B103" s="16">
        <v>46150.5</v>
      </c>
      <c r="C103">
        <v>1.5</v>
      </c>
    </row>
    <row r="104" spans="2:3" x14ac:dyDescent="0.3">
      <c r="B104" s="16">
        <v>46151.354166666664</v>
      </c>
      <c r="C104">
        <v>1.5</v>
      </c>
    </row>
    <row r="105" spans="2:3" x14ac:dyDescent="0.3">
      <c r="B105" s="16">
        <v>46151.583333333336</v>
      </c>
      <c r="C105">
        <v>1</v>
      </c>
    </row>
    <row r="106" spans="2:3" x14ac:dyDescent="0.3">
      <c r="B106" s="16">
        <v>46152.375</v>
      </c>
      <c r="C106">
        <v>2</v>
      </c>
    </row>
    <row r="107" spans="2:3" x14ac:dyDescent="0.3">
      <c r="B107" s="16">
        <v>46152.541666666664</v>
      </c>
      <c r="C107">
        <v>2</v>
      </c>
    </row>
    <row r="108" spans="2:3" x14ac:dyDescent="0.3">
      <c r="B108" s="16">
        <v>46153.333333333336</v>
      </c>
      <c r="C108">
        <v>1.5</v>
      </c>
    </row>
    <row r="109" spans="2:3" x14ac:dyDescent="0.3">
      <c r="B109" s="16">
        <v>46153.583333333336</v>
      </c>
      <c r="C109">
        <v>1</v>
      </c>
    </row>
    <row r="110" spans="2:3" x14ac:dyDescent="0.3">
      <c r="B110" s="16">
        <v>46154.375</v>
      </c>
      <c r="C110">
        <v>2</v>
      </c>
    </row>
    <row r="111" spans="2:3" x14ac:dyDescent="0.3">
      <c r="B111" s="16">
        <v>46154.541666666664</v>
      </c>
      <c r="C111">
        <v>1.5</v>
      </c>
    </row>
    <row r="112" spans="2:3" x14ac:dyDescent="0.3">
      <c r="B112" s="16">
        <v>46155.333333333336</v>
      </c>
      <c r="C112">
        <v>2</v>
      </c>
    </row>
    <row r="113" spans="2:8" x14ac:dyDescent="0.3">
      <c r="B113" s="16">
        <v>46155.625</v>
      </c>
      <c r="C113">
        <v>1</v>
      </c>
    </row>
    <row r="114" spans="2:8" x14ac:dyDescent="0.3">
      <c r="B114" s="16">
        <v>46156.375</v>
      </c>
      <c r="C114">
        <v>2.5</v>
      </c>
    </row>
    <row r="115" spans="2:8" x14ac:dyDescent="0.3">
      <c r="B115" s="16">
        <v>46156.5</v>
      </c>
      <c r="C115">
        <v>1.5</v>
      </c>
    </row>
    <row r="116" spans="2:8" x14ac:dyDescent="0.3">
      <c r="B116" s="16">
        <v>46157.354166666664</v>
      </c>
      <c r="C116">
        <v>1.5</v>
      </c>
    </row>
    <row r="117" spans="2:8" x14ac:dyDescent="0.3">
      <c r="B117" s="16">
        <v>46157.583333333336</v>
      </c>
      <c r="C117">
        <v>1</v>
      </c>
    </row>
    <row r="118" spans="2:8" x14ac:dyDescent="0.3">
      <c r="B118" s="16">
        <v>46158.375</v>
      </c>
      <c r="C118">
        <v>2</v>
      </c>
    </row>
    <row r="119" spans="2:8" x14ac:dyDescent="0.3">
      <c r="B119" s="16">
        <v>46158.541666666664</v>
      </c>
      <c r="C119">
        <v>1.5</v>
      </c>
    </row>
    <row r="120" spans="2:8" x14ac:dyDescent="0.3">
      <c r="B120" s="16">
        <v>46159.333333333336</v>
      </c>
      <c r="C120">
        <v>2</v>
      </c>
    </row>
    <row r="121" spans="2:8" x14ac:dyDescent="0.3">
      <c r="B121" s="16">
        <v>46159.625</v>
      </c>
      <c r="C121">
        <v>1</v>
      </c>
    </row>
    <row r="122" spans="2:8" x14ac:dyDescent="0.3">
      <c r="B122" s="16">
        <v>46160.375</v>
      </c>
      <c r="C122">
        <v>2.5</v>
      </c>
    </row>
    <row r="123" spans="2:8" x14ac:dyDescent="0.3">
      <c r="B123" s="16">
        <v>46160.5</v>
      </c>
      <c r="C123">
        <v>1.5</v>
      </c>
    </row>
    <row r="124" spans="2:8" x14ac:dyDescent="0.3">
      <c r="B124" s="16">
        <v>46161.354166666664</v>
      </c>
      <c r="C124">
        <v>1.5</v>
      </c>
      <c r="F124" s="9" t="s">
        <v>4</v>
      </c>
      <c r="G124" t="s">
        <v>203</v>
      </c>
      <c r="H124" t="s">
        <v>209</v>
      </c>
    </row>
    <row r="125" spans="2:8" x14ac:dyDescent="0.3">
      <c r="B125" s="16">
        <v>46161.583333333336</v>
      </c>
      <c r="C125">
        <v>1</v>
      </c>
      <c r="F125" t="s">
        <v>36</v>
      </c>
      <c r="G125">
        <v>19.5</v>
      </c>
      <c r="H125">
        <v>29700</v>
      </c>
    </row>
    <row r="126" spans="2:8" x14ac:dyDescent="0.3">
      <c r="B126" s="16">
        <v>46162.375</v>
      </c>
      <c r="C126">
        <v>2</v>
      </c>
      <c r="F126" t="s">
        <v>20</v>
      </c>
      <c r="G126">
        <v>22</v>
      </c>
      <c r="H126">
        <v>32100</v>
      </c>
    </row>
    <row r="127" spans="2:8" x14ac:dyDescent="0.3">
      <c r="B127" s="16">
        <v>46162.541666666664</v>
      </c>
      <c r="C127">
        <v>2</v>
      </c>
      <c r="F127" t="s">
        <v>26</v>
      </c>
      <c r="G127">
        <v>13.5</v>
      </c>
      <c r="H127">
        <v>18500</v>
      </c>
    </row>
    <row r="128" spans="2:8" x14ac:dyDescent="0.3">
      <c r="B128" s="16">
        <v>46163.333333333336</v>
      </c>
      <c r="C128">
        <v>1.5</v>
      </c>
      <c r="F128" t="s">
        <v>32</v>
      </c>
      <c r="G128">
        <v>26.5</v>
      </c>
      <c r="H128">
        <v>41000</v>
      </c>
    </row>
    <row r="129" spans="2:8" x14ac:dyDescent="0.3">
      <c r="B129" s="16">
        <v>46163.583333333336</v>
      </c>
      <c r="C129">
        <v>1</v>
      </c>
      <c r="F129" t="s">
        <v>212</v>
      </c>
      <c r="G129">
        <v>81.5</v>
      </c>
      <c r="H129">
        <v>121300</v>
      </c>
    </row>
    <row r="130" spans="2:8" x14ac:dyDescent="0.3">
      <c r="B130" s="16">
        <v>46164.375</v>
      </c>
      <c r="C130">
        <v>2</v>
      </c>
    </row>
    <row r="131" spans="2:8" x14ac:dyDescent="0.3">
      <c r="B131" s="16">
        <v>46164.541666666664</v>
      </c>
      <c r="C131">
        <v>1.5</v>
      </c>
    </row>
    <row r="132" spans="2:8" x14ac:dyDescent="0.3">
      <c r="B132" s="16">
        <v>46165.333333333336</v>
      </c>
      <c r="C132">
        <v>2</v>
      </c>
    </row>
    <row r="133" spans="2:8" x14ac:dyDescent="0.3">
      <c r="B133" s="16">
        <v>46165.625</v>
      </c>
      <c r="C133">
        <v>1</v>
      </c>
    </row>
    <row r="134" spans="2:8" x14ac:dyDescent="0.3">
      <c r="B134" s="16">
        <v>46166.375</v>
      </c>
      <c r="C134">
        <v>2.5</v>
      </c>
    </row>
    <row r="135" spans="2:8" x14ac:dyDescent="0.3">
      <c r="B135" s="16">
        <v>46166.5</v>
      </c>
      <c r="C135">
        <v>1.5</v>
      </c>
    </row>
    <row r="136" spans="2:8" x14ac:dyDescent="0.3">
      <c r="B136" s="16">
        <v>46167.354166666664</v>
      </c>
      <c r="C136">
        <v>1.5</v>
      </c>
    </row>
    <row r="137" spans="2:8" x14ac:dyDescent="0.3">
      <c r="B137" s="16">
        <v>46167.583333333336</v>
      </c>
      <c r="C137">
        <v>1</v>
      </c>
    </row>
    <row r="138" spans="2:8" x14ac:dyDescent="0.3">
      <c r="B138" s="16" t="s">
        <v>212</v>
      </c>
      <c r="C138">
        <v>81.5</v>
      </c>
    </row>
  </sheetData>
  <mergeCells count="1">
    <mergeCell ref="AD3:AG3"/>
  </mergeCells>
  <pageMargins left="0.7" right="0.7" top="0.75" bottom="0.75" header="0.3" footer="0.3"/>
  <drawing r:id="rId13"/>
  <extLst>
    <ext xmlns:x14="http://schemas.microsoft.com/office/spreadsheetml/2009/9/main" uri="{A8765BA9-456A-4dab-B4F3-ACF838C121DE}">
      <x14:slicerList>
        <x14:slicer r:id="rId14"/>
      </x14:slicerList>
    </ext>
    <ext xmlns:x15="http://schemas.microsoft.com/office/spreadsheetml/2010/11/main" uri="{7E03D99C-DC04-49d9-9315-930204A7B6E9}">
      <x15:timelineRefs>
        <x15:timelineRef r:id="rId15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0D81-04E5-4448-A838-106E039B0CC6}">
  <sheetPr>
    <tabColor rgb="FF002060"/>
  </sheetPr>
  <dimension ref="A1"/>
  <sheetViews>
    <sheetView showGridLines="0" showRowColHeaders="0" tabSelected="1" workbookViewId="0">
      <selection activeCell="V31" sqref="V3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Manufacturing Downtime Dataset</vt:lpstr>
      <vt:lpstr>Formatted Dataset</vt:lpstr>
      <vt:lpstr>Visual Plan</vt:lpstr>
      <vt:lpstr>Pivots &amp; Analysis</vt:lpstr>
      <vt:lpstr>Visualisation  &amp; Storytelling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Ankita Sharma</cp:lastModifiedBy>
  <cp:revision/>
  <dcterms:created xsi:type="dcterms:W3CDTF">2026-05-20T12:24:19Z</dcterms:created>
  <dcterms:modified xsi:type="dcterms:W3CDTF">2026-09-15T08:46:33Z</dcterms:modified>
  <cp:category/>
  <cp:contentStatus/>
</cp:coreProperties>
</file>